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sheets/sheet18.xml" ContentType="application/vnd.openxmlformats-officedocument.spreadsheetml.worksheet+xml"/>
  <Override PartName="/xl/tables/table17.xml" ContentType="application/vnd.openxmlformats-officedocument.spreadsheetml.table+xml"/>
  <Override PartName="/xl/worksheets/sheet19.xml" ContentType="application/vnd.openxmlformats-officedocument.spreadsheetml.worksheet+xml"/>
  <Override PartName="/xl/tables/table18.xml" ContentType="application/vnd.openxmlformats-officedocument.spreadsheetml.table+xml"/>
  <Override PartName="/xl/worksheets/sheet20.xml" ContentType="application/vnd.openxmlformats-officedocument.spreadsheetml.worksheet+xml"/>
  <Override PartName="/xl/tables/table19.xml" ContentType="application/vnd.openxmlformats-officedocument.spreadsheetml.table+xml"/>
  <Override PartName="/xl/worksheets/sheet21.xml" ContentType="application/vnd.openxmlformats-officedocument.spreadsheetml.worksheet+xml"/>
  <Override PartName="/xl/tables/table20.xml" ContentType="application/vnd.openxmlformats-officedocument.spreadsheetml.table+xml"/>
  <Override PartName="/xl/worksheets/sheet22.xml" ContentType="application/vnd.openxmlformats-officedocument.spreadsheetml.worksheet+xml"/>
  <Override PartName="/xl/tables/table21.xml" ContentType="application/vnd.openxmlformats-officedocument.spreadsheetml.table+xml"/>
  <Override PartName="/xl/worksheets/sheet23.xml" ContentType="application/vnd.openxmlformats-officedocument.spreadsheetml.worksheet+xml"/>
  <Override PartName="/xl/tables/table22.xml" ContentType="application/vnd.openxmlformats-officedocument.spreadsheetml.table+xml"/>
  <Override PartName="/xl/worksheets/sheet24.xml" ContentType="application/vnd.openxmlformats-officedocument.spreadsheetml.worksheet+xml"/>
  <Override PartName="/xl/tables/table23.xml" ContentType="application/vnd.openxmlformats-officedocument.spreadsheetml.table+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01ea43c19224411" /></Relationships>
</file>

<file path=xl/workbook.xml><?xml version="1.0" encoding="utf-8"?>
<x:workbook xmlns:x="http://schemas.openxmlformats.org/spreadsheetml/2006/main">
  <x:sheets>
    <x:sheet xmlns:r="http://schemas.openxmlformats.org/officeDocument/2006/relationships" name="00_읽어보기" sheetId="1" r:id="R9c5b01fcb49c4346"/>
    <x:sheet xmlns:r="http://schemas.openxmlformats.org/officeDocument/2006/relationships" name="01_확정사항" sheetId="2" r:id="Rd28fbb9fc52b45f2"/>
    <x:sheet xmlns:r="http://schemas.openxmlformats.org/officeDocument/2006/relationships" name="02_전투상수" sheetId="3" r:id="R5a180a2b9d834e25"/>
    <x:sheet xmlns:r="http://schemas.openxmlformats.org/officeDocument/2006/relationships" name="03_직업기본" sheetId="4" r:id="R2903ee0b3aa643ee"/>
    <x:sheet xmlns:r="http://schemas.openxmlformats.org/officeDocument/2006/relationships" name="04_액티브18" sheetId="5" r:id="Rf79fdec48cae4c04"/>
    <x:sheet xmlns:r="http://schemas.openxmlformats.org/officeDocument/2006/relationships" name="05_패시브18" sheetId="6" r:id="Rb4453b4808e94f11"/>
    <x:sheet xmlns:r="http://schemas.openxmlformats.org/officeDocument/2006/relationships" name="06_조건선택지" sheetId="7" r:id="Rcefbf3b4cf7047b2"/>
    <x:sheet xmlns:r="http://schemas.openxmlformats.org/officeDocument/2006/relationships" name="07_스크립트규칙" sheetId="8" r:id="R535f52f1bd664d7f"/>
    <x:sheet xmlns:r="http://schemas.openxmlformats.org/officeDocument/2006/relationships" name="08_추천프리셋6" sheetId="9" r:id="Rbf7fa95663224525"/>
    <x:sheet xmlns:r="http://schemas.openxmlformats.org/officeDocument/2006/relationships" name="09_전설15" sheetId="10" r:id="R6f63efd33fac4512"/>
    <x:sheet xmlns:r="http://schemas.openxmlformats.org/officeDocument/2006/relationships" name="10_세트3" sheetId="11" r:id="R71b19dd0d8cc493d"/>
    <x:sheet xmlns:r="http://schemas.openxmlformats.org/officeDocument/2006/relationships" name="11_세트장비12" sheetId="12" r:id="R1166426302e34a99"/>
    <x:sheet xmlns:r="http://schemas.openxmlformats.org/officeDocument/2006/relationships" name="12_옵션24" sheetId="13" r:id="R154605d680974f97"/>
    <x:sheet xmlns:r="http://schemas.openxmlformats.org/officeDocument/2006/relationships" name="13_베이스24" sheetId="14" r:id="R778f19418e394fd7"/>
    <x:sheet xmlns:r="http://schemas.openxmlformats.org/officeDocument/2006/relationships" name="14_일반몹12" sheetId="15" r:id="R38397ed9173b4b43"/>
    <x:sheet xmlns:r="http://schemas.openxmlformats.org/officeDocument/2006/relationships" name="15_정예6" sheetId="16" r:id="Rb025786a46f14609"/>
    <x:sheet xmlns:r="http://schemas.openxmlformats.org/officeDocument/2006/relationships" name="16_보스3" sheetId="17" r:id="Rdc322a97dd294e24"/>
    <x:sheet xmlns:r="http://schemas.openxmlformats.org/officeDocument/2006/relationships" name="17_방12" sheetId="18" r:id="R945ee421fc04462f"/>
    <x:sheet xmlns:r="http://schemas.openxmlformats.org/officeDocument/2006/relationships" name="18_경제보상" sheetId="19" r:id="Rcc7b3d784a664d80"/>
    <x:sheet xmlns:r="http://schemas.openxmlformats.org/officeDocument/2006/relationships" name="19_보석참조" sheetId="20" r:id="Ra164c652812d46f1"/>
    <x:sheet xmlns:r="http://schemas.openxmlformats.org/officeDocument/2006/relationships" name="20_보석단계대조" sheetId="21" r:id="R1755927ec4d34e03"/>
    <x:sheet xmlns:r="http://schemas.openxmlformats.org/officeDocument/2006/relationships" name="21_검증34" sheetId="22" r:id="R70ff5ab58bcd4e97"/>
    <x:sheet xmlns:r="http://schemas.openxmlformats.org/officeDocument/2006/relationships" name="22_출처" sheetId="23" r:id="R6d4a44ffef5f4ba2"/>
    <x:sheet xmlns:r="http://schemas.openxmlformats.org/officeDocument/2006/relationships" name="23_밸런스곡선" sheetId="24" r:id="R120231b9ccf84074"/>
    <x:sheet xmlns:r="http://schemas.openxmlformats.org/officeDocument/2006/relationships" name="24_균열등급확률" sheetId="25" r:id="R4b527e9f51ae4e97"/>
    <x:sheet xmlns:r="http://schemas.openxmlformats.org/officeDocument/2006/relationships" name="25_콘텐츠해금" sheetId="26" r:id="R67015dd45c23444d"/>
    <x:sheet xmlns:r="http://schemas.openxmlformats.org/officeDocument/2006/relationships" name="26_해금검증" sheetId="27" r:id="Rd8253ca9b3e842d6"/>
  </x:sheets>
</x:workbook>
</file>

<file path=xl/sharedStrings.xml><?xml version="1.0" encoding="utf-8"?>
<x:sst xmlns:x="http://schemas.openxmlformats.org/spreadsheetml/2006/main"/>
</file>

<file path=xl/styles.xml><?xml version="1.0" encoding="utf-8"?>
<x:styleSheet xmlns:x="http://schemas.openxmlformats.org/spreadsheetml/2006/main">
  <x:numFmts count="7">
    <x:numFmt numFmtId="200" formatCode="0.###"/>
    <x:numFmt numFmtId="201" formatCode="0"/>
    <x:numFmt numFmtId="202" formatCode="#,##0.0"/>
    <x:numFmt numFmtId="203" formatCode="0.00"/>
    <x:numFmt numFmtId="204" formatCode="#,##0"/>
    <x:numFmt numFmtId="205" formatCode="0.00%"/>
    <x:numFmt numFmtId="206" formatCode="0.0000"/>
  </x:numFmts>
  <x:fonts count="8">
    <x:font>
      <x:sz val="11"/>
      <x:name val="Carlito"/>
    </x:font>
    <x:font>
      <x:b/>
      <x:sz val="11"/>
      <x:color rgb="FFFFFFFF"/>
      <x:name val="Carlito"/>
    </x:font>
    <x:font>
      <x:sz val="10"/>
      <x:color rgb="FF263449"/>
      <x:name val="Arial"/>
    </x:font>
    <x:font>
      <x:b/>
      <x:sz val="15"/>
      <x:color rgb="FF263449"/>
      <x:name val="Arial"/>
    </x:font>
    <x:font>
      <x:b/>
      <x:sz val="10"/>
      <x:color rgb="FFFFFFFF"/>
      <x:name val="Arial"/>
    </x:font>
    <x:font>
      <x:b/>
      <x:sz val="10"/>
      <x:color rgb="FF263449"/>
      <x:name val="Arial"/>
    </x:font>
    <x:font>
      <x:sz val="11"/>
      <x:name val="Arial"/>
    </x:font>
    <x:font>
      <x:b/>
      <x:sz val="11"/>
      <x:color rgb="FFFFFFFF"/>
      <x:name val="Arial"/>
    </x:font>
  </x:fonts>
  <x:fills count="12">
    <x:fill>
      <x:patternFill patternType="none"/>
    </x:fill>
    <x:fill>
      <x:patternFill patternType="gray125"/>
    </x:fill>
    <x:fill>
      <x:patternFill patternType="solid">
        <x:fgColor rgb="FF162536"/>
      </x:patternFill>
    </x:fill>
    <x:fill>
      <x:patternFill patternType="solid">
        <x:fgColor rgb="FFEEF2F5"/>
      </x:patternFill>
    </x:fill>
    <x:fill>
      <x:patternFill patternType="solid">
        <x:fgColor rgb="FF243B53"/>
      </x:patternFill>
    </x:fill>
    <x:fill>
      <x:patternFill patternType="solid">
        <x:fgColor rgb="FFFFF4DF"/>
      </x:patternFill>
    </x:fill>
    <x:fill>
      <x:patternFill patternType="solid">
        <x:fgColor rgb="FFE7EEF3"/>
      </x:patternFill>
    </x:fill>
    <x:fill>
      <x:patternFill patternType="solid">
        <x:fgColor rgb="FFF1F5F8"/>
      </x:patternFill>
    </x:fill>
    <x:fill>
      <x:patternFill patternType="solid">
        <x:fgColor rgb="FF283E59"/>
      </x:patternFill>
    </x:fill>
    <x:fill>
      <x:patternFill patternType="solid">
        <x:fgColor rgb="FFF0F3F7"/>
      </x:patternFill>
    </x:fill>
    <x:fill>
      <x:patternFill patternType="solid">
        <x:fgColor rgb="FFFFF2CB"/>
      </x:patternFill>
    </x:fill>
    <x:fill>
      <x:patternFill patternType="solid">
        <x:fgColor rgb="FF203864"/>
      </x:patternFill>
    </x:fill>
  </x:fills>
  <x:borders count="7">
    <x:border/>
    <x:border/>
    <x:border>
      <x:bottom style="thin">
        <x:color rgb="FF8492A5"/>
      </x:bottom>
    </x:border>
    <x:border>
      <x:right style="thin">
        <x:color rgb="FFFFFFFF"/>
      </x:right>
    </x:border>
    <x:border>
      <x:left style="thin">
        <x:color rgb="FFFFFFFF"/>
      </x:left>
      <x:right style="thin">
        <x:color rgb="FFFFFFFF"/>
      </x:right>
    </x:border>
    <x:border>
      <x:left style="thin">
        <x:color rgb="FFFFFFFF"/>
      </x:left>
    </x:border>
    <x:border>
      <x:top style="thin">
        <x:color rgb="FFB8C2CE"/>
      </x:top>
    </x:border>
  </x:borders>
  <x:cellStyleXfs count="1">
    <x:xf numFmtId="0" fontId="0" fillId="0" borderId="0"/>
  </x:cellStyleXfs>
  <x:cellXfs count="10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xf numFmtId="0" fontId="0" fillId="3" borderId="0" xfId="0" applyNumberFormat="1" applyFont="1" applyFill="1" applyBorder="1"/>
    <x:xf numFmtId="0" fontId="0" fillId="3" borderId="0" xfId="0" applyNumberFormat="1" applyFont="1" applyFill="1" applyBorder="1" applyAlignment="1">
      <x:alignment wrapText="1"/>
    </x:xf>
    <x:xf numFmtId="0" fontId="0" fillId="3" borderId="0" xfId="0" applyNumberFormat="1" applyFont="1" applyFill="1" applyBorder="1" applyAlignment="1">
      <x:alignment vertical="center" wrapText="1"/>
    </x:xf>
    <x:xf numFmtId="0" fontId="0" fillId="3" borderId="1" xfId="0" applyNumberFormat="1" applyFont="1" applyFill="1" applyBorder="1"/>
    <x:xf numFmtId="0" fontId="0" fillId="3" borderId="1" xfId="0" applyNumberFormat="1" applyFont="1" applyFill="1" applyBorder="1" applyAlignment="1">
      <x:alignment wrapText="1"/>
    </x:xf>
    <x:xf numFmtId="0" fontId="0" fillId="3" borderId="1"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wrapText="1"/>
    </x:xf>
    <x:xf numFmtId="0" fontId="0" fillId="4" borderId="1" xfId="0" applyNumberFormat="1" applyFont="1" applyFill="1" applyBorder="1"/>
    <x:xf numFmtId="0" fontId="1" fillId="4" borderId="1" xfId="0" applyNumberFormat="1" applyFont="1" applyFill="1" applyBorder="1"/>
    <x:xf numFmtId="0" fontId="1" fillId="4" borderId="1" xfId="0" applyNumberFormat="1" applyFont="1" applyFill="1" applyBorder="1" applyAlignment="1">
      <x:alignment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201" fontId="0" fillId="0" borderId="0" xfId="0" applyNumberFormat="1" applyFont="1" applyFill="1" applyBorder="1" applyAlignment="1">
      <x:alignment vertical="top" wrapText="1"/>
    </x:xf>
    <x:xf numFmtId="201" fontId="0" fillId="0" borderId="1" xfId="0" applyNumberFormat="1" applyFont="1" applyFill="1" applyBorder="1" applyAlignment="1">
      <x:alignment vertical="top" wrapText="1"/>
    </x:xf>
    <x:xf numFmtId="0" fontId="0" fillId="5" borderId="0" xfId="0" applyNumberFormat="1" applyFont="1" applyFill="1" applyBorder="1"/>
    <x:xf numFmtId="0" fontId="0" fillId="5" borderId="0" xfId="0" applyNumberFormat="1" applyFont="1" applyFill="1" applyBorder="1" applyAlignment="1">
      <x:alignment wrapText="1"/>
    </x:xf>
    <x:xf numFmtId="0" fontId="0" fillId="5" borderId="1" xfId="0" applyNumberFormat="1" applyFont="1" applyFill="1" applyBorder="1"/>
    <x:xf numFmtId="0" fontId="0" fillId="5" borderId="1" xfId="0" applyNumberFormat="1" applyFont="1" applyFill="1" applyBorder="1" applyAlignment="1">
      <x:alignment wrapText="1"/>
    </x:xf>
    <x:xf numFmtId="202" fontId="0" fillId="0" borderId="0" xfId="0" applyNumberFormat="1" applyFont="1" applyFill="1" applyBorder="1"/>
    <x:xf numFmtId="202" fontId="0" fillId="0" borderId="1" xfId="0" applyNumberFormat="1" applyFont="1" applyFill="1" applyBorder="1"/>
    <x:xf numFmtId="203" fontId="0" fillId="0" borderId="0" xfId="0" applyNumberFormat="1" applyFont="1" applyFill="1" applyBorder="1"/>
    <x:xf numFmtId="203" fontId="0" fillId="0" borderId="1" xfId="0" applyNumberFormat="1" applyFont="1" applyFill="1" applyBorder="1"/>
    <x:xf numFmtId="204" fontId="0" fillId="0" borderId="0" xfId="0" applyNumberFormat="1" applyFont="1" applyFill="1" applyBorder="1"/>
    <x:xf numFmtId="204" fontId="0" fillId="0" borderId="1" xfId="0" applyNumberFormat="1" applyFont="1" applyFill="1" applyBorder="1"/>
    <x:xf numFmtId="0" fontId="0" fillId="6" borderId="0" xfId="0" applyNumberFormat="1" applyFont="1" applyFill="1" applyBorder="1"/>
    <x:xf numFmtId="0" fontId="0" fillId="6" borderId="0" xfId="0" applyNumberFormat="1" applyFont="1" applyFill="1" applyBorder="1" applyAlignment="1">
      <x:alignment wrapText="1"/>
    </x:xf>
    <x:xf numFmtId="0" fontId="0" fillId="6" borderId="1" xfId="0" applyNumberFormat="1" applyFont="1" applyFill="1" applyBorder="1"/>
    <x:xf numFmtId="0" fontId="0" fillId="6" borderId="1" xfId="0" applyNumberFormat="1" applyFont="1" applyFill="1" applyBorder="1" applyAlignment="1">
      <x:alignment wrapText="1"/>
    </x:xf>
    <x:xf numFmtId="0" fontId="0" fillId="7" borderId="0" xfId="0" applyNumberFormat="1" applyFont="1" applyFill="1" applyBorder="1"/>
    <x:xf numFmtId="0" fontId="0" fillId="7" borderId="0" xfId="0" applyNumberFormat="1" applyFont="1" applyFill="1" applyBorder="1" applyAlignment="1">
      <x:alignment wrapText="1"/>
    </x:xf>
    <x:xf numFmtId="0" fontId="0" fillId="7" borderId="0" xfId="0" applyNumberFormat="1" applyFont="1" applyFill="1" applyBorder="1" applyAlignment="1">
      <x:alignment vertical="center" wrapText="1"/>
    </x:xf>
    <x:xf numFmtId="0" fontId="0" fillId="7" borderId="1" xfId="0" applyNumberFormat="1" applyFont="1" applyFill="1" applyBorder="1"/>
    <x:xf numFmtId="0" fontId="0" fillId="7" borderId="1" xfId="0" applyNumberFormat="1" applyFont="1" applyFill="1" applyBorder="1" applyAlignment="1">
      <x:alignment wrapText="1"/>
    </x:xf>
    <x:xf numFmtId="0" fontId="0" fillId="7" borderId="1" xfId="0" applyNumberFormat="1" applyFont="1" applyFill="1" applyBorder="1" applyAlignment="1">
      <x:alignment vertical="center" wrapText="1"/>
    </x:xf>
    <x:xf numFmtId="0" fontId="0" fillId="5" borderId="0" xfId="0" applyNumberFormat="1" applyFont="1" applyFill="1" applyBorder="1" applyAlignment="1">
      <x:alignment vertical="center" wrapText="1"/>
    </x:xf>
    <x:xf numFmtId="0" fontId="0" fillId="5" borderId="1" xfId="0" applyNumberFormat="1" applyFont="1" applyFill="1" applyBorder="1" applyAlignment="1">
      <x:alignment vertical="center" wrapText="1"/>
    </x:xf>
    <x:xf numFmtId="0" fontId="0" fillId="0"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3" fillId="0" borderId="2" xfId="0" applyNumberFormat="1" applyFont="1" applyFill="1" applyBorder="1" applyAlignment="1">
      <x:alignment vertical="center"/>
    </x:xf>
    <x:xf numFmtId="0" fontId="2" fillId="0" borderId="2" xfId="0" applyNumberFormat="1" applyFont="1" applyFill="1" applyBorder="1" applyAlignment="1">
      <x:alignment vertical="center"/>
    </x:xf>
    <x:xf numFmtId="0" fontId="2" fillId="8" borderId="0" xfId="0" applyNumberFormat="1" applyFont="1" applyFill="1" applyBorder="1" applyAlignment="1">
      <x:alignment vertical="center"/>
    </x:xf>
    <x:xf numFmtId="0" fontId="4" fillId="8" borderId="0" xfId="0" applyNumberFormat="1" applyFont="1" applyFill="1" applyBorder="1" applyAlignment="1">
      <x:alignment vertical="center"/>
    </x:xf>
    <x:xf numFmtId="0" fontId="4" fillId="8" borderId="0" xfId="0" applyNumberFormat="1" applyFont="1" applyFill="1" applyBorder="1" applyAlignment="1">
      <x:alignment horizontal="center" vertical="center"/>
    </x:xf>
    <x:xf numFmtId="0" fontId="4" fillId="8" borderId="0" xfId="0" applyNumberFormat="1" applyFont="1" applyFill="1" applyBorder="1" applyAlignment="1">
      <x:alignment horizontal="center" vertical="center" wrapText="1"/>
    </x:xf>
    <x:xf numFmtId="0" fontId="4" fillId="8" borderId="3" xfId="0" applyNumberFormat="1" applyFont="1" applyFill="1" applyBorder="1" applyAlignment="1">
      <x:alignment horizontal="center" vertical="center" wrapText="1"/>
    </x:xf>
    <x:xf numFmtId="0" fontId="4" fillId="8" borderId="4" xfId="0" applyNumberFormat="1" applyFont="1" applyFill="1" applyBorder="1" applyAlignment="1">
      <x:alignment horizontal="center" vertical="center" wrapText="1"/>
    </x:xf>
    <x:xf numFmtId="0" fontId="4" fillId="8" borderId="5" xfId="0" applyNumberFormat="1" applyFont="1" applyFill="1" applyBorder="1" applyAlignment="1">
      <x:alignment horizontal="center" vertical="center" wrapText="1"/>
    </x:xf>
    <x:xf numFmtId="0" fontId="2" fillId="0" borderId="6" xfId="0" applyNumberFormat="1" applyFont="1" applyFill="1" applyBorder="1" applyAlignment="1">
      <x:alignment vertical="center"/>
    </x:xf>
    <x:xf numFmtId="0" fontId="2" fillId="9" borderId="6" xfId="0" applyNumberFormat="1" applyFont="1" applyFill="1" applyBorder="1" applyAlignment="1">
      <x:alignment vertical="center"/>
    </x:xf>
    <x:xf numFmtId="0" fontId="2" fillId="9" borderId="0" xfId="0" applyNumberFormat="1" applyFont="1" applyFill="1" applyBorder="1" applyAlignment="1">
      <x:alignment vertical="center"/>
    </x:xf>
    <x:xf numFmtId="205" fontId="2" fillId="0" borderId="6" xfId="0" applyNumberFormat="1" applyFont="1" applyFill="1" applyBorder="1" applyAlignment="1">
      <x:alignment vertical="center"/>
    </x:xf>
    <x:xf numFmtId="205" fontId="2" fillId="0" borderId="0" xfId="0" applyNumberFormat="1" applyFont="1" applyFill="1" applyBorder="1" applyAlignment="1">
      <x:alignment vertical="center"/>
    </x:xf>
    <x:xf numFmtId="205" fontId="2" fillId="9" borderId="6" xfId="0" applyNumberFormat="1" applyFont="1" applyFill="1" applyBorder="1" applyAlignment="1">
      <x:alignment vertical="center"/>
    </x:xf>
    <x:xf numFmtId="205" fontId="2" fillId="9" borderId="0" xfId="0" applyNumberFormat="1" applyFont="1" applyFill="1" applyBorder="1" applyAlignment="1">
      <x:alignment vertical="center"/>
    </x:xf>
    <x:xf numFmtId="206" fontId="2" fillId="0" borderId="6" xfId="0" applyNumberFormat="1" applyFont="1" applyFill="1" applyBorder="1" applyAlignment="1">
      <x:alignment vertical="center"/>
    </x:xf>
    <x:xf numFmtId="206" fontId="2" fillId="0" borderId="0" xfId="0" applyNumberFormat="1" applyFont="1" applyFill="1" applyBorder="1" applyAlignment="1">
      <x:alignment vertical="center"/>
    </x:xf>
    <x:xf numFmtId="206" fontId="2" fillId="9" borderId="6" xfId="0" applyNumberFormat="1" applyFont="1" applyFill="1" applyBorder="1" applyAlignment="1">
      <x:alignment vertical="center"/>
    </x:xf>
    <x:xf numFmtId="206" fontId="2" fillId="9" borderId="0" xfId="0" applyNumberFormat="1" applyFont="1" applyFill="1" applyBorder="1" applyAlignment="1">
      <x:alignment vertical="center"/>
    </x:xf>
    <x:xf numFmtId="204" fontId="2" fillId="0" borderId="6" xfId="0" applyNumberFormat="1" applyFont="1" applyFill="1" applyBorder="1" applyAlignment="1">
      <x:alignment vertical="center"/>
    </x:xf>
    <x:xf numFmtId="204" fontId="2" fillId="0" borderId="0" xfId="0" applyNumberFormat="1" applyFont="1" applyFill="1" applyBorder="1" applyAlignment="1">
      <x:alignment vertical="center"/>
    </x:xf>
    <x:xf numFmtId="204" fontId="2" fillId="9" borderId="6" xfId="0" applyNumberFormat="1" applyFont="1" applyFill="1" applyBorder="1" applyAlignment="1">
      <x:alignment vertical="center"/>
    </x:xf>
    <x:xf numFmtId="204" fontId="2" fillId="9" borderId="0" xfId="0" applyNumberFormat="1" applyFont="1" applyFill="1" applyBorder="1" applyAlignment="1">
      <x:alignment vertical="center"/>
    </x:xf>
    <x:xf numFmtId="205" fontId="2" fillId="0" borderId="6" xfId="0" applyNumberFormat="1" applyFont="1" applyFill="1" applyBorder="1" applyAlignment="1">
      <x:alignment horizontal="right" vertical="center"/>
    </x:xf>
    <x:xf numFmtId="206" fontId="2" fillId="0" borderId="6" xfId="0" applyNumberFormat="1" applyFont="1" applyFill="1" applyBorder="1" applyAlignment="1">
      <x:alignment horizontal="right" vertical="center"/>
    </x:xf>
    <x:xf numFmtId="205" fontId="2" fillId="0" borderId="0" xfId="0" applyNumberFormat="1" applyFont="1" applyFill="1" applyBorder="1" applyAlignment="1">
      <x:alignment horizontal="right" vertical="center"/>
    </x:xf>
    <x:xf numFmtId="206" fontId="2" fillId="0" borderId="0" xfId="0" applyNumberFormat="1" applyFont="1" applyFill="1" applyBorder="1" applyAlignment="1">
      <x:alignment horizontal="right" vertical="center"/>
    </x:xf>
    <x:xf numFmtId="205" fontId="2" fillId="9" borderId="6" xfId="0" applyNumberFormat="1" applyFont="1" applyFill="1" applyBorder="1" applyAlignment="1">
      <x:alignment horizontal="right" vertical="center"/>
    </x:xf>
    <x:xf numFmtId="206" fontId="2" fillId="9" borderId="6" xfId="0" applyNumberFormat="1" applyFont="1" applyFill="1" applyBorder="1" applyAlignment="1">
      <x:alignment horizontal="right" vertical="center"/>
    </x:xf>
    <x:xf numFmtId="205" fontId="2" fillId="9" borderId="0" xfId="0" applyNumberFormat="1" applyFont="1" applyFill="1" applyBorder="1" applyAlignment="1">
      <x:alignment horizontal="right" vertical="center"/>
    </x:xf>
    <x:xf numFmtId="206" fontId="2" fillId="9" borderId="0" xfId="0" applyNumberFormat="1" applyFont="1" applyFill="1" applyBorder="1" applyAlignment="1">
      <x:alignment horizontal="right" vertical="center"/>
    </x:xf>
    <x:xf numFmtId="205" fontId="5" fillId="0" borderId="6" xfId="0" applyNumberFormat="1" applyFont="1" applyFill="1" applyBorder="1" applyAlignment="1">
      <x:alignment horizontal="right" vertical="center"/>
    </x:xf>
    <x:xf numFmtId="205" fontId="5" fillId="0" borderId="0" xfId="0" applyNumberFormat="1" applyFont="1" applyFill="1" applyBorder="1" applyAlignment="1">
      <x:alignment horizontal="right" vertical="center"/>
    </x:xf>
    <x:xf numFmtId="205" fontId="5" fillId="9" borderId="6" xfId="0" applyNumberFormat="1" applyFont="1" applyFill="1" applyBorder="1" applyAlignment="1">
      <x:alignment horizontal="right" vertical="center"/>
    </x:xf>
    <x:xf numFmtId="205" fontId="5" fillId="9" borderId="0" xfId="0" applyNumberFormat="1" applyFont="1" applyFill="1" applyBorder="1" applyAlignment="1">
      <x:alignment horizontal="right" vertical="center"/>
    </x:xf>
    <x:xf numFmtId="0" fontId="2" fillId="10" borderId="0" xfId="0" applyNumberFormat="1" applyFont="1" applyFill="1" applyBorder="1" applyAlignment="1">
      <x:alignment vertical="center"/>
    </x:xf>
    <x:xf numFmtId="201" fontId="2" fillId="10" borderId="0" xfId="0" applyNumberFormat="1" applyFont="1" applyFill="1" applyBorder="1" applyAlignment="1">
      <x:alignment vertical="center"/>
    </x:xf>
    <x:xf numFmtId="205" fontId="2" fillId="10" borderId="0" xfId="0" applyNumberFormat="1" applyFont="1" applyFill="1" applyBorder="1" applyAlignment="1">
      <x:alignment vertical="center"/>
    </x:xf>
    <x:xf numFmtId="201" fontId="2" fillId="0" borderId="0" xfId="0" applyNumberFormat="1" applyFont="1" applyFill="1" applyBorder="1" applyAlignment="1">
      <x:alignment vertical="center"/>
    </x:xf>
    <x:xf numFmtId="0" fontId="2" fillId="0" borderId="0" xfId="0" applyNumberFormat="1" applyFont="1" applyFill="1" applyBorder="1" applyAlignment="1">
      <x:alignment vertical="center" wrapText="1"/>
    </x:xf>
    <x:xf numFmtId="0" fontId="0" fillId="0" borderId="0" xfId="0" applyNumberFormat="1" applyFont="1" applyFill="1" applyBorder="1" applyAlignment="1">
      <x:alignment vertical="top"/>
    </x:xf>
    <x:xf numFmtId="0" fontId="6" fillId="0" borderId="0" xfId="0" applyNumberFormat="1" applyFont="1" applyFill="1" applyBorder="1"/>
    <x:xf numFmtId="0" fontId="6" fillId="0" borderId="0" xfId="0" applyNumberFormat="1" applyFont="1" applyFill="1" applyBorder="1" applyAlignment="1">
      <x:alignment vertical="center"/>
    </x:xf>
    <x:xf numFmtId="0" fontId="6" fillId="0" borderId="0" xfId="0" applyNumberFormat="1" applyFont="1" applyFill="1" applyBorder="1" applyAlignment="1">
      <x:alignment vertical="center" wrapText="1"/>
    </x:xf>
    <x:xf numFmtId="0" fontId="6" fillId="11" borderId="0" xfId="0" applyNumberFormat="1" applyFont="1" applyFill="1" applyBorder="1" applyAlignment="1">
      <x:alignment vertical="center" wrapText="1"/>
    </x:xf>
    <x:xf numFmtId="0" fontId="7" fillId="11" borderId="0" xfId="0" applyNumberFormat="1" applyFont="1" applyFill="1" applyBorder="1" applyAlignment="1">
      <x:alignment vertical="center" wrapText="1"/>
    </x:xf>
    <x:xf numFmtId="204" fontId="6" fillId="0" borderId="0" xfId="0" applyNumberFormat="1" applyFont="1" applyFill="1" applyBorder="1" applyAlignment="1">
      <x:alignment vertical="center" wrapText="1"/>
    </x:xf>
  </x:cellXfs>
  <x:cellStyles count="1">
    <x:cellStyle name="Normal" xfId="0"/>
  </x:cellStyles>
  <x:dxfs count="2">
    <x:dxf>
      <x:font>
        <x:b/>
        <x:color rgb="FFAA1E2E"/>
      </x:font>
      <x:fill>
        <x:patternFill>
          <x:bgColor rgb="FFFCE4E4"/>
        </x:patternFill>
      </x:fill>
    </x:dxf>
    <x:dxf>
      <x:font>
        <x:b/>
        <x:color rgb="FFAA1E2E"/>
      </x:font>
      <x:fill>
        <x:patternFill>
          <x:bgColor rgb="FFFCE4E4"/>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cfb1a4472e74b8d" /><Relationship Type="http://schemas.openxmlformats.org/officeDocument/2006/relationships/theme" Target="/xl/theme/theme1.xml" Id="R6372bd200a6049e7" /><Relationship Type="http://schemas.openxmlformats.org/officeDocument/2006/relationships/sharedStrings" Target="/xl/sharedStrings.xml" Id="R7d0beb8a360e43fb" /><Relationship Type="http://schemas.openxmlformats.org/officeDocument/2006/relationships/worksheet" Target="/xl/worksheets/sheet1.xml" Id="R9c5b01fcb49c4346" /><Relationship Type="http://schemas.openxmlformats.org/officeDocument/2006/relationships/worksheet" Target="/xl/worksheets/sheet2.xml" Id="Rd28fbb9fc52b45f2" /><Relationship Type="http://schemas.openxmlformats.org/officeDocument/2006/relationships/worksheet" Target="/xl/worksheets/sheet3.xml" Id="R5a180a2b9d834e25" /><Relationship Type="http://schemas.openxmlformats.org/officeDocument/2006/relationships/worksheet" Target="/xl/worksheets/sheet4.xml" Id="R2903ee0b3aa643ee" /><Relationship Type="http://schemas.openxmlformats.org/officeDocument/2006/relationships/worksheet" Target="/xl/worksheets/sheet5.xml" Id="Rf79fdec48cae4c04" /><Relationship Type="http://schemas.openxmlformats.org/officeDocument/2006/relationships/worksheet" Target="/xl/worksheets/sheet6.xml" Id="Rb4453b4808e94f11" /><Relationship Type="http://schemas.openxmlformats.org/officeDocument/2006/relationships/worksheet" Target="/xl/worksheets/sheet7.xml" Id="Rcefbf3b4cf7047b2" /><Relationship Type="http://schemas.openxmlformats.org/officeDocument/2006/relationships/worksheet" Target="/xl/worksheets/sheet8.xml" Id="R535f52f1bd664d7f" /><Relationship Type="http://schemas.openxmlformats.org/officeDocument/2006/relationships/worksheet" Target="/xl/worksheets/sheet9.xml" Id="Rbf7fa95663224525" /><Relationship Type="http://schemas.openxmlformats.org/officeDocument/2006/relationships/worksheet" Target="/xl/worksheets/sheet10.xml" Id="R6f63efd33fac4512" /><Relationship Type="http://schemas.openxmlformats.org/officeDocument/2006/relationships/worksheet" Target="/xl/worksheets/sheet11.xml" Id="R71b19dd0d8cc493d" /><Relationship Type="http://schemas.openxmlformats.org/officeDocument/2006/relationships/worksheet" Target="/xl/worksheets/sheet12.xml" Id="R1166426302e34a99" /><Relationship Type="http://schemas.openxmlformats.org/officeDocument/2006/relationships/worksheet" Target="/xl/worksheets/sheet13.xml" Id="R154605d680974f97" /><Relationship Type="http://schemas.openxmlformats.org/officeDocument/2006/relationships/worksheet" Target="/xl/worksheets/sheet14.xml" Id="R778f19418e394fd7" /><Relationship Type="http://schemas.openxmlformats.org/officeDocument/2006/relationships/worksheet" Target="/xl/worksheets/sheet15.xml" Id="R38397ed9173b4b43" /><Relationship Type="http://schemas.openxmlformats.org/officeDocument/2006/relationships/worksheet" Target="/xl/worksheets/sheet16.xml" Id="Rb025786a46f14609" /><Relationship Type="http://schemas.openxmlformats.org/officeDocument/2006/relationships/worksheet" Target="/xl/worksheets/sheet17.xml" Id="Rdc322a97dd294e24" /><Relationship Type="http://schemas.openxmlformats.org/officeDocument/2006/relationships/worksheet" Target="/xl/worksheets/sheet18.xml" Id="R945ee421fc04462f" /><Relationship Type="http://schemas.openxmlformats.org/officeDocument/2006/relationships/worksheet" Target="/xl/worksheets/sheet19.xml" Id="Rcc7b3d784a664d80" /><Relationship Type="http://schemas.openxmlformats.org/officeDocument/2006/relationships/worksheet" Target="/xl/worksheets/sheet20.xml" Id="Ra164c652812d46f1" /><Relationship Type="http://schemas.openxmlformats.org/officeDocument/2006/relationships/worksheet" Target="/xl/worksheets/sheet21.xml" Id="R1755927ec4d34e03" /><Relationship Type="http://schemas.openxmlformats.org/officeDocument/2006/relationships/worksheet" Target="/xl/worksheets/sheet22.xml" Id="R70ff5ab58bcd4e97" /><Relationship Type="http://schemas.openxmlformats.org/officeDocument/2006/relationships/worksheet" Target="/xl/worksheets/sheet23.xml" Id="R6d4a44ffef5f4ba2" /><Relationship Type="http://schemas.openxmlformats.org/officeDocument/2006/relationships/worksheet" Target="/xl/worksheets/sheet24.xml" Id="R120231b9ccf84074" /><Relationship Type="http://schemas.openxmlformats.org/officeDocument/2006/relationships/worksheet" Target="/xl/worksheets/sheet25.xml" Id="R4b527e9f51ae4e97" /><Relationship Type="http://schemas.openxmlformats.org/officeDocument/2006/relationships/worksheet" Target="/xl/worksheets/sheet26.xml" Id="R67015dd45c23444d" /><Relationship Type="http://schemas.openxmlformats.org/officeDocument/2006/relationships/worksheet" Target="/xl/worksheets/sheet27.xml" Id="Rd8253ca9b3e842d6" /></Relationships>
</file>

<file path=xl/tables/table1.xml><?xml version="1.0" encoding="utf-8"?>
<x:table xmlns:x="http://schemas.openxmlformats.org/spreadsheetml/2006/main" id="1" name="HellscriptTable01" displayName="HellscriptTable01" ref="A4:C39" headerRowCount="1" totalsRowCount="0" totalsRowShown="0">
  <x:tableColumns count="3">
    <x:tableColumn id="1" name="ID"/>
    <x:tableColumn id="2" name="영역"/>
    <x:tableColumn id="3" name="확정 내용"/>
  </x:tableColumns>
  <x:tableStyleInfo name="TableStyleMedium2" showFirstColumn="0" showLastColumn="0" showRowStripes="1" showColumnStripes="0"/>
</x:table>
</file>

<file path=xl/tables/table2.xml><?xml version="1.0" encoding="utf-8"?>
<x:table xmlns:x="http://schemas.openxmlformats.org/spreadsheetml/2006/main" id="2" name="HellscriptTable02" displayName="HellscriptTable02" ref="A4:F44" headerRowCount="1" totalsRowCount="0" totalsRowShown="0">
  <x:tableColumns count="6">
    <x:tableColumn id="1" name="ID"/>
    <x:tableColumn id="2" name="항목"/>
    <x:tableColumn id="3" name="값"/>
    <x:tableColumn id="4" name="단위"/>
    <x:tableColumn id="5" name="상태"/>
    <x:tableColumn id="6" name="적용 규칙"/>
  </x:tableColumns>
  <x:tableStyleInfo name="TableStyleMedium2" showFirstColumn="0" showLastColumn="0" showRowStripes="1" showColumnStripes="0"/>
</x:table>
</file>

<file path=xl/tables/table3.xml><?xml version="1.0" encoding="utf-8"?>
<x:table xmlns:x="http://schemas.openxmlformats.org/spreadsheetml/2006/main" id="3" name="HellscriptTable03" displayName="HellscriptTable03" ref="A4:M7" headerRowCount="1" totalsRowCount="0" totalsRowShown="0">
  <x:tableColumns count="13">
    <x:tableColumn id="1" name="ID"/>
    <x:tableColumn id="2" name="직업"/>
    <x:tableColumn id="3" name="1레벨HP"/>
    <x:tableColumn id="4" name="레벨당HP"/>
    <x:tableColumn id="5" name="이속(m/s)"/>
    <x:tableColumn id="6" name="자원회복/초"/>
    <x:tableColumn id="7" name="힘"/>
    <x:tableColumn id="8" name="민첩"/>
    <x:tableColumn id="9" name="지능"/>
    <x:tableColumn id="10" name="의지"/>
    <x:tableColumn id="11" name="주능력"/>
    <x:tableColumn id="12" name="자원명"/>
    <x:tableColumn id="13" name="기본공격"/>
  </x:tableColumns>
  <x:tableStyleInfo name="TableStyleMedium2" showFirstColumn="0" showLastColumn="0" showRowStripes="1" showColumnStripes="0"/>
</x:table>
</file>

<file path=xl/tables/table4.xml><?xml version="1.0" encoding="utf-8"?>
<x:table xmlns:x="http://schemas.openxmlformats.org/spreadsheetml/2006/main" id="4" name="HellscriptTable04" displayName="HellscriptTable04" ref="A4:N22" headerRowCount="1" totalsRowCount="0" totalsRowShown="0">
  <x:tableColumns count="14">
    <x:tableColumn id="1" name="ID"/>
    <x:tableColumn id="2" name="직업"/>
    <x:tableColumn id="3" name="스킬"/>
    <x:tableColumn id="4" name="분류"/>
    <x:tableColumn id="5" name="해금Lv"/>
    <x:tableColumn id="6" name="기본CD(s)"/>
    <x:tableColumn id="7" name="자원비용"/>
    <x:tableColumn id="8" name="비용주기(s)"/>
    <x:tableColumn id="9" name="D계수"/>
    <x:tableColumn id="10" name="피해주기(s)"/>
    <x:tableColumn id="11" name="범위(설명참조)"/>
    <x:tableColumn id="12" name="사거리(m)"/>
    <x:tableColumn id="13" name="동작·효과"/>
    <x:tableColumn id="14" name="스크립트 전용 선택지"/>
  </x:tableColumns>
  <x:tableStyleInfo name="TableStyleMedium2" showFirstColumn="0" showLastColumn="0" showRowStripes="1" showColumnStripes="0"/>
</x:table>
</file>

<file path=xl/tables/table5.xml><?xml version="1.0" encoding="utf-8"?>
<x:table xmlns:x="http://schemas.openxmlformats.org/spreadsheetml/2006/main" id="5" name="HellscriptTable05" displayName="HellscriptTable05" ref="A4:D22" headerRowCount="1" totalsRowCount="0" totalsRowShown="0">
  <x:tableColumns count="4">
    <x:tableColumn id="1" name="ID"/>
    <x:tableColumn id="2" name="직업"/>
    <x:tableColumn id="3" name="패시브"/>
    <x:tableColumn id="4" name="효과"/>
  </x:tableColumns>
  <x:tableStyleInfo name="TableStyleMedium2" showFirstColumn="0" showLastColumn="0" showRowStripes="1" showColumnStripes="0"/>
</x:table>
</file>

<file path=xl/tables/table6.xml><?xml version="1.0" encoding="utf-8"?>
<x:table xmlns:x="http://schemas.openxmlformats.org/spreadsheetml/2006/main" id="6" name="HellscriptTable06" displayName="HellscriptTable06" ref="A4:F26" headerRowCount="1" totalsRowCount="0" totalsRowShown="0">
  <x:tableColumns count="6">
    <x:tableColumn id="1" name="ID"/>
    <x:tableColumn id="2" name="영역"/>
    <x:tableColumn id="3" name="조건"/>
    <x:tableColumn id="4" name="비교"/>
    <x:tableColumn id="5" name="허용 입력"/>
    <x:tableColumn id="6" name="예시"/>
  </x:tableColumns>
  <x:tableStyleInfo name="TableStyleMedium2" showFirstColumn="0" showLastColumn="0" showRowStripes="1" showColumnStripes="0"/>
</x:table>
</file>

<file path=xl/tables/table7.xml><?xml version="1.0" encoding="utf-8"?>
<x:table xmlns:x="http://schemas.openxmlformats.org/spreadsheetml/2006/main" id="7" name="HellscriptTable07" displayName="HellscriptTable07" ref="A4:D28" headerRowCount="1" totalsRowCount="0" totalsRowShown="0">
  <x:tableColumns count="4">
    <x:tableColumn id="1" name="ID"/>
    <x:tableColumn id="2" name="항목"/>
    <x:tableColumn id="3" name="옵션·처리"/>
    <x:tableColumn id="4" name="예외·제약"/>
  </x:tableColumns>
  <x:tableStyleInfo name="TableStyleMedium2" showFirstColumn="0" showLastColumn="0" showRowStripes="1" showColumnStripes="0"/>
</x:table>
</file>

<file path=xl/tables/table8.xml><?xml version="1.0" encoding="utf-8"?>
<x:table xmlns:x="http://schemas.openxmlformats.org/spreadsheetml/2006/main" id="8" name="HellscriptTable08" displayName="HellscriptTable08" ref="A4:H10" headerRowCount="1" totalsRowCount="0" totalsRowShown="0">
  <x:tableColumns count="8">
    <x:tableColumn id="1" name="ID"/>
    <x:tableColumn id="2" name="직업"/>
    <x:tableColumn id="3" name="이름"/>
    <x:tableColumn id="4" name="액티브ID"/>
    <x:tableColumn id="5" name="패시브ID"/>
    <x:tableColumn id="6" name="기본이동"/>
    <x:tableColumn id="7" name="주요 우선규칙"/>
    <x:tableColumn id="8" name="주의"/>
  </x:tableColumns>
  <x:tableStyleInfo name="TableStyleMedium2" showFirstColumn="0" showLastColumn="0" showRowStripes="1" showColumnStripes="0"/>
</x:table>
</file>

<file path=xl/tables/table9.xml><?xml version="1.0" encoding="utf-8"?>
<x:table xmlns:x="http://schemas.openxmlformats.org/spreadsheetml/2006/main" id="9" name="HellscriptTable09" displayName="HellscriptTable09" ref="A4:H19" headerRowCount="1" totalsRowCount="0" totalsRowShown="0">
  <x:tableColumns count="8">
    <x:tableColumn id="1" name="ID"/>
    <x:tableColumn id="2" name="직업"/>
    <x:tableColumn id="3" name="이름"/>
    <x:tableColumn id="4" name="부위"/>
    <x:tableColumn id="5" name="등장가중치"/>
    <x:tableColumn id="6" name="효과"/>
    <x:tableColumn id="7" name="제약"/>
    <x:tableColumn id="8" name="규칙 변화"/>
  </x:tableColumns>
  <x:tableStyleInfo name="TableStyleMedium2" showFirstColumn="0" showLastColumn="0" showRowStripes="1" showColumnStripes="0"/>
</x:table>
</file>

<file path=xl/tables/table10.xml><?xml version="1.0" encoding="utf-8"?>
<x:table xmlns:x="http://schemas.openxmlformats.org/spreadsheetml/2006/main" id="10" name="HellscriptTable10" displayName="HellscriptTable10" ref="A4:H7" headerRowCount="1" totalsRowCount="0" totalsRowShown="0">
  <x:tableColumns count="8">
    <x:tableColumn id="1" name="ID"/>
    <x:tableColumn id="2" name="직업"/>
    <x:tableColumn id="3" name="세트명"/>
    <x:tableColumn id="4" name="구성부위"/>
    <x:tableColumn id="5" name="개별가중치"/>
    <x:tableColumn id="6" name="2세트"/>
    <x:tableColumn id="7" name="4세트"/>
    <x:tableColumn id="8" name="제약"/>
  </x:tableColumns>
  <x:tableStyleInfo name="TableStyleMedium2" showFirstColumn="0" showLastColumn="0" showRowStripes="1" showColumnStripes="0"/>
</x:table>
</file>

<file path=xl/tables/table11.xml><?xml version="1.0" encoding="utf-8"?>
<x:table xmlns:x="http://schemas.openxmlformats.org/spreadsheetml/2006/main" id="11" name="HellscriptTable11" displayName="HellscriptTable11" ref="A4:H16" headerRowCount="1" totalsRowCount="0" totalsRowShown="0">
  <x:tableColumns count="8">
    <x:tableColumn id="1" name="ID"/>
    <x:tableColumn id="2" name="세트ID"/>
    <x:tableColumn id="3" name="직업"/>
    <x:tableColumn id="4" name="아이템명"/>
    <x:tableColumn id="5" name="부위"/>
    <x:tableColumn id="6" name="가중치"/>
    <x:tableColumn id="7" name="등급"/>
    <x:tableColumn id="8" name="구조"/>
  </x:tableColumns>
  <x:tableStyleInfo name="TableStyleMedium2" showFirstColumn="0" showLastColumn="0" showRowStripes="1" showColumnStripes="0"/>
</x:table>
</file>

<file path=xl/tables/table12.xml><?xml version="1.0" encoding="utf-8"?>
<x:table xmlns:x="http://schemas.openxmlformats.org/spreadsheetml/2006/main" id="12" name="HellscriptTable12" displayName="HellscriptTable12" ref="A4:G28" headerRowCount="1" totalsRowCount="0" totalsRowShown="0">
  <x:tableColumns count="7">
    <x:tableColumn id="1" name="ID"/>
    <x:tableColumn id="2" name="옵션"/>
    <x:tableColumn id="3" name="최소값"/>
    <x:tableColumn id="4" name="최대값"/>
    <x:tableColumn id="5" name="단위"/>
    <x:tableColumn id="6" name="성장유형"/>
    <x:tableColumn id="7" name="허용부위"/>
  </x:tableColumns>
  <x:tableStyleInfo name="TableStyleMedium2" showFirstColumn="0" showLastColumn="0" showRowStripes="1" showColumnStripes="0"/>
</x:table>
</file>

<file path=xl/tables/table13.xml><?xml version="1.0" encoding="utf-8"?>
<x:table xmlns:x="http://schemas.openxmlformats.org/spreadsheetml/2006/main" id="13" name="HellscriptTable13" displayName="HellscriptTable13" ref="A4:H28" headerRowCount="1" totalsRowCount="0" totalsRowShown="0">
  <x:tableColumns count="8">
    <x:tableColumn id="1" name="ID"/>
    <x:tableColumn id="2" name="이름"/>
    <x:tableColumn id="3" name="부위"/>
    <x:tableColumn id="4" name="직업"/>
    <x:tableColumn id="5" name="기초주능력"/>
    <x:tableColumn id="6" name="고정 부가효과"/>
    <x:tableColumn id="7" name="주능력종류"/>
    <x:tableColumn id="8" name="설명"/>
  </x:tableColumns>
  <x:tableStyleInfo name="TableStyleMedium2" showFirstColumn="0" showLastColumn="0" showRowStripes="1" showColumnStripes="0"/>
</x:table>
</file>

<file path=xl/tables/table14.xml><?xml version="1.0" encoding="utf-8"?>
<x:table xmlns:x="http://schemas.openxmlformats.org/spreadsheetml/2006/main" id="14" name="HellscriptTable14" displayName="HellscriptTable14" ref="A4:I16" headerRowCount="1" totalsRowCount="0" totalsRowShown="0">
  <x:tableColumns count="9">
    <x:tableColumn id="1" name="ID"/>
    <x:tableColumn id="2" name="테마"/>
    <x:tableColumn id="3" name="이름"/>
    <x:tableColumn id="4" name="행동유형"/>
    <x:tableColumn id="5" name="HP배수"/>
    <x:tableColumn id="6" name="공격배수"/>
    <x:tableColumn id="7" name="이속"/>
    <x:tableColumn id="8" name="패턴"/>
    <x:tableColumn id="9" name="설정 과제"/>
  </x:tableColumns>
  <x:tableStyleInfo name="TableStyleMedium2" showFirstColumn="0" showLastColumn="0" showRowStripes="1" showColumnStripes="0"/>
</x:table>
</file>

<file path=xl/tables/table15.xml><?xml version="1.0" encoding="utf-8"?>
<x:table xmlns:x="http://schemas.openxmlformats.org/spreadsheetml/2006/main" id="15" name="HellscriptTable15" displayName="HellscriptTable15" ref="A4:D10" headerRowCount="1" totalsRowCount="0" totalsRowShown="0">
  <x:tableColumns count="4">
    <x:tableColumn id="1" name="ID"/>
    <x:tableColumn id="2" name="특성"/>
    <x:tableColumn id="3" name="실제 효과"/>
    <x:tableColumn id="4" name="대응"/>
  </x:tableColumns>
  <x:tableStyleInfo name="TableStyleMedium2" showFirstColumn="0" showLastColumn="0" showRowStripes="1" showColumnStripes="0"/>
</x:table>
</file>

<file path=xl/tables/table16.xml><?xml version="1.0" encoding="utf-8"?>
<x:table xmlns:x="http://schemas.openxmlformats.org/spreadsheetml/2006/main" id="16" name="HellscriptTable16" displayName="HellscriptTable16" ref="A4:H7" headerRowCount="1" totalsRowCount="0" totalsRowShown="0">
  <x:tableColumns count="8">
    <x:tableColumn id="1" name="ID"/>
    <x:tableColumn id="2" name="보스"/>
    <x:tableColumn id="3" name="추가HP배수"/>
    <x:tableColumn id="4" name="추가공격배수"/>
    <x:tableColumn id="5" name="패턴1"/>
    <x:tableColumn id="6" name="패턴2"/>
    <x:tableColumn id="7" name="후반 변화"/>
    <x:tableColumn id="8" name="검증 과제"/>
  </x:tableColumns>
  <x:tableStyleInfo name="TableStyleMedium2" showFirstColumn="0" showLastColumn="0" showRowStripes="1" showColumnStripes="0"/>
</x:table>
</file>

<file path=xl/tables/table17.xml><?xml version="1.0" encoding="utf-8"?>
<x:table xmlns:x="http://schemas.openxmlformats.org/spreadsheetml/2006/main" id="17" name="HellscriptTable17" displayName="HellscriptTable17" ref="A4:G16" headerRowCount="1" totalsRowCount="0" totalsRowShown="0">
  <x:tableColumns count="7">
    <x:tableColumn id="1" name="ID"/>
    <x:tableColumn id="2" name="테마"/>
    <x:tableColumn id="3" name="방"/>
    <x:tableColumn id="4" name="연결구수"/>
    <x:tableColumn id="5" name="크기초안"/>
    <x:tableColumn id="6" name="지형"/>
    <x:tableColumn id="7" name="주요용도"/>
  </x:tableColumns>
  <x:tableStyleInfo name="TableStyleMedium2" showFirstColumn="0" showLastColumn="0" showRowStripes="1" showColumnStripes="0"/>
</x:table>
</file>

<file path=xl/tables/table18.xml><?xml version="1.0" encoding="utf-8"?>
<x:table xmlns:x="http://schemas.openxmlformats.org/spreadsheetml/2006/main" id="18" name="HellscriptTable18" displayName="HellscriptTable18" ref="A4:E30" headerRowCount="1" totalsRowCount="0" totalsRowShown="0">
  <x:tableColumns count="5">
    <x:tableColumn id="1" name="ID"/>
    <x:tableColumn id="2" name="항목"/>
    <x:tableColumn id="3" name="규칙·초기 수치"/>
    <x:tableColumn id="4" name="상태"/>
    <x:tableColumn id="5" name="예외"/>
  </x:tableColumns>
  <x:tableStyleInfo name="TableStyleMedium2" showFirstColumn="0" showLastColumn="0" showRowStripes="1" showColumnStripes="0"/>
</x:table>
</file>

<file path=xl/tables/table19.xml><?xml version="1.0" encoding="utf-8"?>
<x:table xmlns:x="http://schemas.openxmlformats.org/spreadsheetml/2006/main" id="19" name="HellscriptTable19" displayName="HellscriptTable19" ref="A4:I11" headerRowCount="1" totalsRowCount="0" totalsRowShown="0">
  <x:tableColumns count="9">
    <x:tableColumn id="1" name="ID"/>
    <x:tableColumn id="2" name="보석"/>
    <x:tableColumn id="3" name="무기효과"/>
    <x:tableColumn id="4" name="방어구효과_역사참조"/>
    <x:tableColumn id="5" name="장신구효과_검증대기"/>
    <x:tableColumn id="6" name="확인 범위"/>
    <x:tableColumn id="7" name="출시 상태"/>
    <x:tableColumn id="8" name="무기출처"/>
    <x:tableColumn id="9" name="방어구출처"/>
  </x:tableColumns>
  <x:tableStyleInfo name="TableStyleMedium2" showFirstColumn="0" showLastColumn="0" showRowStripes="1" showColumnStripes="0"/>
</x:table>
</file>

<file path=xl/tables/table20.xml><?xml version="1.0" encoding="utf-8"?>
<x:table xmlns:x="http://schemas.openxmlformats.org/spreadsheetml/2006/main" id="20" name="HellscriptTable20" displayName="HellscriptTable20" ref="A4:E12" headerRowCount="1" totalsRowCount="0" totalsRowShown="0">
  <x:tableColumns count="5">
    <x:tableColumn id="1" name="순서초안"/>
    <x:tableColumn id="2" name="원작참조ID"/>
    <x:tableColumn id="3" name="참조명"/>
    <x:tableColumn id="4" name="검증 범위"/>
    <x:tableColumn id="5" name="상태"/>
  </x:tableColumns>
  <x:tableStyleInfo name="TableStyleMedium2" showFirstColumn="0" showLastColumn="0" showRowStripes="1" showColumnStripes="0"/>
</x:table>
</file>

<file path=xl/tables/table21.xml><?xml version="1.0" encoding="utf-8"?>
<x:table xmlns:x="http://schemas.openxmlformats.org/spreadsheetml/2006/main" id="21" name="HellscriptTable21" displayName="HellscriptTable21" ref="A4:D38" headerRowCount="1" totalsRowCount="0" totalsRowShown="0">
  <x:tableColumns count="4">
    <x:tableColumn id="1" name="ID"/>
    <x:tableColumn id="2" name="분류"/>
    <x:tableColumn id="3" name="시험 상황"/>
    <x:tableColumn id="4" name="통과 조건"/>
  </x:tableColumns>
  <x:tableStyleInfo name="TableStyleMedium2" showFirstColumn="0" showLastColumn="0" showRowStripes="1" showColumnStripes="0"/>
</x:table>
</file>

<file path=xl/tables/table22.xml><?xml version="1.0" encoding="utf-8"?>
<x:table xmlns:x="http://schemas.openxmlformats.org/spreadsheetml/2006/main" id="22" name="HellscriptTable22" displayName="HellscriptTable22" ref="A4:E10" headerRowCount="1" totalsRowCount="0" totalsRowShown="0">
  <x:tableColumns count="5">
    <x:tableColumn id="1" name="ID"/>
    <x:tableColumn id="2" name="출처"/>
    <x:tableColumn id="3" name="URL 또는 출처위치"/>
    <x:tableColumn id="4" name="시점"/>
    <x:tableColumn id="5" name="확인한 범위"/>
  </x:tableColumns>
  <x:tableStyleInfo name="TableStyleMedium2" showFirstColumn="0" showLastColumn="0" showRowStripes="1" showColumnStripes="0"/>
</x:table>
</file>

<file path=xl/tables/table23.xml><?xml version="1.0" encoding="utf-8"?>
<x:table xmlns:x="http://schemas.openxmlformats.org/spreadsheetml/2006/main" id="23" name="HellscriptBalance" displayName="HellscriptBalance" ref="A4:H64" headerRowCount="1" totalsRowCount="0" totalsRowShown="0">
  <x:tableColumns count="8">
    <x:tableColumn id="1" name="균열 단계"/>
    <x:tableColumn id="2" name="일반 기준HP"/>
    <x:tableColumn id="3" name="보스 기준HP"/>
    <x:tableColumn id="4" name="일반 기준공격"/>
    <x:tableColumn id="5" name="장비 주능력배율"/>
    <x:tableColumn id="6" name="표준 무기피해"/>
    <x:tableColumn id="7" name="보스 골드"/>
    <x:tableColumn id="8" name="시간당 오프라인골드"/>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50b4d37eba148b9" /></Relationships>
</file>

<file path=xl/worksheets/_rels/sheet3.xml.rels>&#65279;<?xml version="1.0" encoding="utf-8"?><Relationships xmlns="http://schemas.openxmlformats.org/package/2006/relationships"><Relationship Type="http://schemas.openxmlformats.org/officeDocument/2006/relationships/table" Target="/xl/tables/table2.xml" Id="R95b2f69aa2104a63" /></Relationships>
</file>

<file path=xl/worksheets/_rels/sheet4.xml.rels>&#65279;<?xml version="1.0" encoding="utf-8"?><Relationships xmlns="http://schemas.openxmlformats.org/package/2006/relationships"><Relationship Type="http://schemas.openxmlformats.org/officeDocument/2006/relationships/table" Target="/xl/tables/table3.xml" Id="Rb1a1801a84ef4ea2" /></Relationships>
</file>

<file path=xl/worksheets/_rels/sheet5.xml.rels>&#65279;<?xml version="1.0" encoding="utf-8"?><Relationships xmlns="http://schemas.openxmlformats.org/package/2006/relationships"><Relationship Type="http://schemas.openxmlformats.org/officeDocument/2006/relationships/table" Target="/xl/tables/table4.xml" Id="R6fc118fdf52d4a2a" /></Relationships>
</file>

<file path=xl/worksheets/_rels/sheet6.xml.rels>&#65279;<?xml version="1.0" encoding="utf-8"?><Relationships xmlns="http://schemas.openxmlformats.org/package/2006/relationships"><Relationship Type="http://schemas.openxmlformats.org/officeDocument/2006/relationships/table" Target="/xl/tables/table5.xml" Id="Rf8f88e1a64c544f6" /></Relationships>
</file>

<file path=xl/worksheets/_rels/sheet7.xml.rels>&#65279;<?xml version="1.0" encoding="utf-8"?><Relationships xmlns="http://schemas.openxmlformats.org/package/2006/relationships"><Relationship Type="http://schemas.openxmlformats.org/officeDocument/2006/relationships/table" Target="/xl/tables/table6.xml" Id="R68faacad30ba4377" /></Relationships>
</file>

<file path=xl/worksheets/_rels/sheet8.xml.rels>&#65279;<?xml version="1.0" encoding="utf-8"?><Relationships xmlns="http://schemas.openxmlformats.org/package/2006/relationships"><Relationship Type="http://schemas.openxmlformats.org/officeDocument/2006/relationships/table" Target="/xl/tables/table7.xml" Id="Rf69593ad1fc644a8" /></Relationships>
</file>

<file path=xl/worksheets/_rels/sheet9.xml.rels>&#65279;<?xml version="1.0" encoding="utf-8"?><Relationships xmlns="http://schemas.openxmlformats.org/package/2006/relationships"><Relationship Type="http://schemas.openxmlformats.org/officeDocument/2006/relationships/table" Target="/xl/tables/table8.xml" Id="Rc4a96229bd7d4d56" /></Relationships>
</file>

<file path=xl/worksheets/_rels/sheet10.xml.rels>&#65279;<?xml version="1.0" encoding="utf-8"?><Relationships xmlns="http://schemas.openxmlformats.org/package/2006/relationships"><Relationship Type="http://schemas.openxmlformats.org/officeDocument/2006/relationships/table" Target="/xl/tables/table9.xml" Id="R3d35b2de1db64d25" /></Relationships>
</file>

<file path=xl/worksheets/_rels/sheet11.xml.rels>&#65279;<?xml version="1.0" encoding="utf-8"?><Relationships xmlns="http://schemas.openxmlformats.org/package/2006/relationships"><Relationship Type="http://schemas.openxmlformats.org/officeDocument/2006/relationships/table" Target="/xl/tables/table10.xml" Id="R7e092d00f66746dd" /></Relationships>
</file>

<file path=xl/worksheets/_rels/sheet12.xml.rels>&#65279;<?xml version="1.0" encoding="utf-8"?><Relationships xmlns="http://schemas.openxmlformats.org/package/2006/relationships"><Relationship Type="http://schemas.openxmlformats.org/officeDocument/2006/relationships/table" Target="/xl/tables/table11.xml" Id="R9b9608bed6dd4640" /></Relationships>
</file>

<file path=xl/worksheets/_rels/sheet13.xml.rels>&#65279;<?xml version="1.0" encoding="utf-8"?><Relationships xmlns="http://schemas.openxmlformats.org/package/2006/relationships"><Relationship Type="http://schemas.openxmlformats.org/officeDocument/2006/relationships/table" Target="/xl/tables/table12.xml" Id="R3efc83b9c4064d90" /></Relationships>
</file>

<file path=xl/worksheets/_rels/sheet14.xml.rels>&#65279;<?xml version="1.0" encoding="utf-8"?><Relationships xmlns="http://schemas.openxmlformats.org/package/2006/relationships"><Relationship Type="http://schemas.openxmlformats.org/officeDocument/2006/relationships/table" Target="/xl/tables/table13.xml" Id="R5ebca7dd3bf74cf7" /></Relationships>
</file>

<file path=xl/worksheets/_rels/sheet15.xml.rels>&#65279;<?xml version="1.0" encoding="utf-8"?><Relationships xmlns="http://schemas.openxmlformats.org/package/2006/relationships"><Relationship Type="http://schemas.openxmlformats.org/officeDocument/2006/relationships/table" Target="/xl/tables/table14.xml" Id="Rc85aeb07ddd5428c" /></Relationships>
</file>

<file path=xl/worksheets/_rels/sheet16.xml.rels>&#65279;<?xml version="1.0" encoding="utf-8"?><Relationships xmlns="http://schemas.openxmlformats.org/package/2006/relationships"><Relationship Type="http://schemas.openxmlformats.org/officeDocument/2006/relationships/table" Target="/xl/tables/table15.xml" Id="R062e4529ea6c41bd" /></Relationships>
</file>

<file path=xl/worksheets/_rels/sheet17.xml.rels>&#65279;<?xml version="1.0" encoding="utf-8"?><Relationships xmlns="http://schemas.openxmlformats.org/package/2006/relationships"><Relationship Type="http://schemas.openxmlformats.org/officeDocument/2006/relationships/table" Target="/xl/tables/table16.xml" Id="R2d7465c4bd624822" /></Relationships>
</file>

<file path=xl/worksheets/_rels/sheet18.xml.rels>&#65279;<?xml version="1.0" encoding="utf-8"?><Relationships xmlns="http://schemas.openxmlformats.org/package/2006/relationships"><Relationship Type="http://schemas.openxmlformats.org/officeDocument/2006/relationships/table" Target="/xl/tables/table17.xml" Id="Rb973d5f92d1744a8" /></Relationships>
</file>

<file path=xl/worksheets/_rels/sheet19.xml.rels>&#65279;<?xml version="1.0" encoding="utf-8"?><Relationships xmlns="http://schemas.openxmlformats.org/package/2006/relationships"><Relationship Type="http://schemas.openxmlformats.org/officeDocument/2006/relationships/table" Target="/xl/tables/table18.xml" Id="Rd5162b605fe94801" /></Relationships>
</file>

<file path=xl/worksheets/_rels/sheet20.xml.rels>&#65279;<?xml version="1.0" encoding="utf-8"?><Relationships xmlns="http://schemas.openxmlformats.org/package/2006/relationships"><Relationship Type="http://schemas.openxmlformats.org/officeDocument/2006/relationships/table" Target="/xl/tables/table19.xml" Id="R5c31a058d6274c28" /></Relationships>
</file>

<file path=xl/worksheets/_rels/sheet21.xml.rels>&#65279;<?xml version="1.0" encoding="utf-8"?><Relationships xmlns="http://schemas.openxmlformats.org/package/2006/relationships"><Relationship Type="http://schemas.openxmlformats.org/officeDocument/2006/relationships/table" Target="/xl/tables/table20.xml" Id="Rab46ba6b212f4110" /></Relationships>
</file>

<file path=xl/worksheets/_rels/sheet22.xml.rels>&#65279;<?xml version="1.0" encoding="utf-8"?><Relationships xmlns="http://schemas.openxmlformats.org/package/2006/relationships"><Relationship Type="http://schemas.openxmlformats.org/officeDocument/2006/relationships/table" Target="/xl/tables/table21.xml" Id="R8ae2da5118bd4305" /></Relationships>
</file>

<file path=xl/worksheets/_rels/sheet23.xml.rels>&#65279;<?xml version="1.0" encoding="utf-8"?><Relationships xmlns="http://schemas.openxmlformats.org/package/2006/relationships"><Relationship Type="http://schemas.openxmlformats.org/officeDocument/2006/relationships/table" Target="/xl/tables/table22.xml" Id="R7e31e90a1fce41f2" /></Relationships>
</file>

<file path=xl/worksheets/_rels/sheet24.xml.rels>&#65279;<?xml version="1.0" encoding="utf-8"?><Relationships xmlns="http://schemas.openxmlformats.org/package/2006/relationships"><Relationship Type="http://schemas.openxmlformats.org/officeDocument/2006/relationships/table" Target="/xl/tables/table23.xml" Id="R82871073bd914a4f" /></Relationships>
</file>

<file path=xl/worksheets/sheet1.xml><?xml version="1.0" encoding="utf-8"?>
<x:worksheet xmlns:x="http://schemas.openxmlformats.org/spreadsheetml/2006/main">
  <x:sheetFormatPr defaultRowHeight="15"/>
  <x:cols>
    <x:col min="1" max="1" width="28" hidden="0" customWidth="1"/>
    <x:col min="2" max="2" width="42" hidden="0" customWidth="1"/>
    <x:col min="3" max="3" width="20" hidden="0" customWidth="1"/>
    <x:col min="4" max="4" width="16" hidden="0" customWidth="1"/>
    <x:col min="5" max="5" width="3" hidden="0" customWidth="1"/>
    <x:col min="6" max="6" width="20" hidden="0" customWidth="1"/>
    <x:col min="7" max="7" width="16" hidden="0" customWidth="1"/>
    <x:col min="8" max="8" width="17" hidden="0" customWidth="1"/>
  </x:cols>
  <x:sheetData>
    <x:row r="1" ht="38" customHeight="1">
      <x:c r="A1" s="3" t="str">
        <x:v>HELLSCRIPT — 최초 빌드 설계 데이터 0.1</x:v>
      </x:c>
      <x:c r="B1" s="3"/>
      <x:c r="C1" s="3"/>
      <x:c r="D1" s="3"/>
      <x:c r="E1" s="3"/>
      <x:c r="F1" s="3"/>
      <x:c r="G1" s="3"/>
      <x:c r="H1" s="3"/>
    </x:row>
    <x:row r="2" ht="32" customHeight="1">
      <x:c r="A2" s="37" t="str">
        <x:v>2026-09-12  |  옵션 재설정 고정 비용 유지 · 균열 단계별 등급 확률 초안 추가</x:v>
      </x:c>
      <x:c r="B2" s="37"/>
      <x:c r="C2" s="37"/>
      <x:c r="D2" s="37"/>
      <x:c r="E2" s="37"/>
      <x:c r="F2" s="37"/>
      <x:c r="G2" s="37"/>
      <x:c r="H2" s="37"/>
    </x:row>
    <x:row r="4" ht="32" customHeight="1">
      <x:c r="A4" s="12" t="str">
        <x:v>먼저 01_확정사항과 함께 제공된 GDD 문서를 읽고, 02_전투상수 및 각 콘텐츠 표를 조정하세요.</x:v>
      </x:c>
      <x:c r="B4" s="12"/>
      <x:c r="C4" s="12"/>
      <x:c r="D4" s="12"/>
      <x:c r="E4" s="12"/>
      <x:c r="F4" s="12"/>
      <x:c r="G4" s="12"/>
      <x:c r="H4" s="12"/>
    </x:row>
    <x:row r="6" ht="30" customHeight="1">
      <x:c r="A6" s="17" t="str">
        <x:v>영역</x:v>
      </x:c>
      <x:c r="B6" s="17" t="str">
        <x:v>목표 수량</x:v>
      </x:c>
      <x:c r="C6" s="17" t="str">
        <x:v>데이터 수량</x:v>
      </x:c>
      <x:c r="D6" s="17" t="str">
        <x:v>점검</x:v>
      </x:c>
      <x:c r="F6" s="17" t="str">
        <x:v>이 파일의 상태</x:v>
      </x:c>
      <x:c r="G6" s="17"/>
      <x:c r="H6" s="17"/>
    </x:row>
    <x:row r="7" ht="25" customHeight="1">
      <x:c r="A7" t="str">
        <x:v>액티브 스킬</x:v>
      </x:c>
      <x:c r="B7" t="n">
        <x:v>18</x:v>
      </x:c>
      <x:c r="C7" t="n">
        <x:f>COUNTA('04_액티브18'!A5:A22)</x:f>
        <x:v>18</x:v>
      </x:c>
      <x:c r="D7" t="str">
        <x:f>IF(B7=C7,"일치","확인 필요")</x:f>
        <x:v>일치</x:v>
      </x:c>
      <x:c r="F7" s="42" t="str">
        <x:v>확정: 사용자가 승인한 방향·수량</x:v>
      </x:c>
      <x:c r="G7" s="42"/>
      <x:c r="H7" s="42"/>
    </x:row>
    <x:row r="8" ht="25" customHeight="1">
      <x:c r="A8" t="str">
        <x:v>패시브</x:v>
      </x:c>
      <x:c r="B8" t="n">
        <x:v>18</x:v>
      </x:c>
      <x:c r="C8" t="n">
        <x:f>COUNTA('05_패시브18'!A5:A22)</x:f>
        <x:v>18</x:v>
      </x:c>
      <x:c r="D8" t="str">
        <x:f>IF(B8=C8,"일치","확인 필요")</x:f>
        <x:v>일치</x:v>
      </x:c>
      <x:c r="F8" s="42"/>
      <x:c r="G8" s="42"/>
      <x:c r="H8" s="42"/>
    </x:row>
    <x:row r="9" ht="25" customHeight="1">
      <x:c r="A9" t="str">
        <x:v>개별 전설</x:v>
      </x:c>
      <x:c r="B9" t="n">
        <x:v>15</x:v>
      </x:c>
      <x:c r="C9" t="n">
        <x:f>COUNTA('09_전설15'!A5:A19)</x:f>
        <x:v>15</x:v>
      </x:c>
      <x:c r="D9" t="str">
        <x:f>IF(B9=C9,"일치","확인 필요")</x:f>
        <x:v>일치</x:v>
      </x:c>
      <x:c r="F9" s="42" t="str">
        <x:v>초안: 스킬 효과·계수·확률·경제값</x:v>
      </x:c>
      <x:c r="G9" s="42"/>
      <x:c r="H9" s="42"/>
    </x:row>
    <x:row r="10" ht="25" customHeight="1">
      <x:c r="A10" t="str">
        <x:v>세트 장비</x:v>
      </x:c>
      <x:c r="B10" t="n">
        <x:v>12</x:v>
      </x:c>
      <x:c r="C10" t="n">
        <x:f>COUNTA('11_세트장비12'!A5:A16)</x:f>
        <x:v>12</x:v>
      </x:c>
      <x:c r="D10" t="str">
        <x:f>IF(B10=C10,"일치","확인 필요")</x:f>
        <x:v>일치</x:v>
      </x:c>
      <x:c r="F10" s="42"/>
      <x:c r="G10" s="42"/>
      <x:c r="H10" s="42"/>
    </x:row>
    <x:row r="11" ht="25" customHeight="1">
      <x:c r="A11" t="str">
        <x:v>베이스 장비</x:v>
      </x:c>
      <x:c r="B11" t="n">
        <x:v>24</x:v>
      </x:c>
      <x:c r="C11" t="n">
        <x:f>COUNTA('13_베이스24'!A5:A28)</x:f>
        <x:v>24</x:v>
      </x:c>
      <x:c r="D11" t="str">
        <x:f>IF(B11=C11,"일치","확인 필요")</x:f>
        <x:v>일치</x:v>
      </x:c>
      <x:c r="F11" s="42" t="str">
        <x:v>외부대조: 디아블로4 보석 전체 수치</x:v>
      </x:c>
      <x:c r="G11" s="42"/>
      <x:c r="H11" s="42"/>
    </x:row>
    <x:row r="12" ht="25" customHeight="1">
      <x:c r="A12" t="str">
        <x:v>랜덤 옵션</x:v>
      </x:c>
      <x:c r="B12" t="n">
        <x:v>24</x:v>
      </x:c>
      <x:c r="C12" t="n">
        <x:f>COUNTA('12_옵션24'!A5:A28)</x:f>
        <x:v>24</x:v>
      </x:c>
      <x:c r="D12" t="str">
        <x:f>IF(B12=C12,"일치","확인 필요")</x:f>
        <x:v>일치</x:v>
      </x:c>
      <x:c r="F12" s="42"/>
      <x:c r="G12" s="42"/>
      <x:c r="H12" s="42"/>
    </x:row>
    <x:row r="13" ht="25" customHeight="1">
      <x:c r="A13" t="str">
        <x:v>일반 몬스터</x:v>
      </x:c>
      <x:c r="B13" t="n">
        <x:v>12</x:v>
      </x:c>
      <x:c r="C13" t="n">
        <x:f>COUNTA('14_일반몹12'!A5:A16)</x:f>
        <x:v>12</x:v>
      </x:c>
      <x:c r="D13" t="str">
        <x:f>IF(B13=C13,"일치","확인 필요")</x:f>
        <x:v>일치</x:v>
      </x:c>
      <x:c r="F13" s="42" t="str">
        <x:v>실행한 점검: 수량·ID·드롭 후보군</x:v>
      </x:c>
      <x:c r="G13" s="42"/>
      <x:c r="H13" s="42"/>
    </x:row>
    <x:row r="14" ht="25" customHeight="1">
      <x:c r="A14" t="str">
        <x:v>정예 특성</x:v>
      </x:c>
      <x:c r="B14" t="n">
        <x:v>6</x:v>
      </x:c>
      <x:c r="C14" t="n">
        <x:f>COUNTA('15_정예6'!A5:A10)</x:f>
        <x:v>6</x:v>
      </x:c>
      <x:c r="D14" t="str">
        <x:f>IF(B14=C14,"일치","확인 필요")</x:f>
        <x:v>일치</x:v>
      </x:c>
      <x:c r="F14" s="42"/>
      <x:c r="G14" s="42"/>
      <x:c r="H14" s="42"/>
    </x:row>
    <x:row r="15" ht="25" customHeight="1">
      <x:c r="A15" t="str">
        <x:v>보스</x:v>
      </x:c>
      <x:c r="B15" t="n">
        <x:v>3</x:v>
      </x:c>
      <x:c r="C15" t="n">
        <x:f>COUNTA('16_보스3'!A5:A7)</x:f>
        <x:v>3</x:v>
      </x:c>
      <x:c r="D15" t="str">
        <x:f>IF(B15=C15,"일치","확인 필요")</x:f>
        <x:v>일치</x:v>
      </x:c>
      <x:c r="F15" s="42" t="str">
        <x:v>미실행: 전투·성능·플레이 밸런스</x:v>
      </x:c>
      <x:c r="G15" s="42"/>
      <x:c r="H15" s="42"/>
    </x:row>
    <x:row r="16" ht="25" customHeight="1">
      <x:c r="A16" t="str">
        <x:v>방 템플릿</x:v>
      </x:c>
      <x:c r="B16" t="n">
        <x:v>12</x:v>
      </x:c>
      <x:c r="C16" t="n">
        <x:f>COUNTA('17_방12'!A5:A16)</x:f>
        <x:v>12</x:v>
      </x:c>
      <x:c r="D16" t="str">
        <x:f>IF(B16=C16,"일치","확인 필요")</x:f>
        <x:v>일치</x:v>
      </x:c>
      <x:c r="F16" s="42"/>
      <x:c r="G16" s="42"/>
      <x:c r="H16" s="42"/>
    </x:row>
    <x:row r="18">
      <x:c r="A18" s="46" t="str">
        <x:v>핵심 검증: 같은 장비·같은 전투 조건에서 스크립트만 바꿨을 때 생존과 효율이 달라지고, 그 이유가 로그로 설명되어야 합니다.</x:v>
      </x:c>
      <x:c r="B18" s="46"/>
      <x:c r="C18" s="46"/>
      <x:c r="D18" s="46"/>
      <x:c r="E18" s="46"/>
      <x:c r="F18" s="46"/>
      <x:c r="G18" s="46"/>
      <x:c r="H18" s="46"/>
    </x:row>
    <x:row r="19">
      <x:c r="A19" s="46"/>
      <x:c r="B19" s="46"/>
      <x:c r="C19" s="46"/>
      <x:c r="D19" s="46"/>
      <x:c r="E19" s="46"/>
      <x:c r="F19" s="46"/>
      <x:c r="G19" s="46"/>
      <x:c r="H19" s="46"/>
    </x:row>
    <x:row r="21" ht="30" customHeight="1">
      <x:c r="A21" s="17" t="str">
        <x:v>시트</x:v>
      </x:c>
      <x:c r="B21" s="17" t="str">
        <x:v>내용</x:v>
      </x:c>
      <x:c r="C21" s="17" t="str">
        <x:v>상태</x:v>
      </x:c>
      <x:c r="D21" s="17" t="str">
        <x:v>비고</x:v>
      </x:c>
    </x:row>
    <x:row r="22" ht="60" customHeight="1">
      <x:c r="A22" s="13" t="str">
        <x:v>01_확정사항</x:v>
      </x:c>
      <x:c r="B22" s="13" t="str">
        <x:v>출처: 현재 대화에서 사용자가 확정한 사항. 새로운 수치표와 구분.</x:v>
      </x:c>
      <x:c r="C22" s="13" t="str">
        <x:v>사용자 확정</x:v>
      </x:c>
      <x:c r="D22" s="13" t="str">
        <x:v>35행</x:v>
      </x:c>
    </x:row>
    <x:row r="23" ht="60" customHeight="1">
      <x:c r="A23" s="13" t="str">
        <x:v>02_전투상수</x:v>
      </x:c>
      <x:c r="B23" s="13" t="str">
        <x:v>신규 설계: 테스트 초안. 실제 플레이 검증 전.</x:v>
      </x:c>
      <x:c r="C23" s="13" t="str">
        <x:v>테스트 초안</x:v>
      </x:c>
      <x:c r="D23" s="13" t="str">
        <x:v>40행</x:v>
      </x:c>
    </x:row>
    <x:row r="24" ht="60" customHeight="1">
      <x:c r="A24" s="13" t="str">
        <x:v>03_직업기본</x:v>
      </x:c>
      <x:c r="B24" s="13" t="str">
        <x:v>신규 설계: 테스트 초안. 실제 플레이 검증 전.</x:v>
      </x:c>
      <x:c r="C24" s="13" t="str">
        <x:v>테스트 초안</x:v>
      </x:c>
      <x:c r="D24" s="13" t="str">
        <x:v>3행</x:v>
      </x:c>
    </x:row>
    <x:row r="25" ht="60" customHeight="1">
      <x:c r="A25" s="13" t="str">
        <x:v>04_액티브18</x:v>
      </x:c>
      <x:c r="B25" s="13" t="str">
        <x:v>신규 설계: 테스트 초안. 실제 플레이 검증 전.</x:v>
      </x:c>
      <x:c r="C25" s="13" t="str">
        <x:v>테스트 초안</x:v>
      </x:c>
      <x:c r="D25" s="13" t="str">
        <x:v>18행</x:v>
      </x:c>
    </x:row>
    <x:row r="26" ht="60" customHeight="1">
      <x:c r="A26" s="13" t="str">
        <x:v>05_패시브18</x:v>
      </x:c>
      <x:c r="B26" s="13" t="str">
        <x:v>신규 설계: 테스트 초안. 실제 플레이 검증 전.</x:v>
      </x:c>
      <x:c r="C26" s="13" t="str">
        <x:v>테스트 초안</x:v>
      </x:c>
      <x:c r="D26" s="13" t="str">
        <x:v>18행</x:v>
      </x:c>
    </x:row>
    <x:row r="27" ht="60" customHeight="1">
      <x:c r="A27" s="13" t="str">
        <x:v>06_조건선택지</x:v>
      </x:c>
      <x:c r="B27" s="13" t="str">
        <x:v>신규 설계: 테스트 초안. 실제 플레이 검증 전.</x:v>
      </x:c>
      <x:c r="C27" s="13" t="str">
        <x:v>테스트 초안</x:v>
      </x:c>
      <x:c r="D27" s="13" t="str">
        <x:v>22행</x:v>
      </x:c>
    </x:row>
    <x:row r="28" ht="60" customHeight="1">
      <x:c r="A28" s="13" t="str">
        <x:v>07_스크립트규칙</x:v>
      </x:c>
      <x:c r="B28" s="13" t="str">
        <x:v>신규 설계: 테스트 초안. 실제 플레이 검증 전.</x:v>
      </x:c>
      <x:c r="C28" s="13" t="str">
        <x:v>테스트 초안</x:v>
      </x:c>
      <x:c r="D28" s="13" t="str">
        <x:v>24행</x:v>
      </x:c>
    </x:row>
    <x:row r="29" ht="60" customHeight="1">
      <x:c r="A29" s="13" t="str">
        <x:v>08_추천프리셋6</x:v>
      </x:c>
      <x:c r="B29" s="13" t="str">
        <x:v>신규 설계: 테스트 초안. 실제 플레이 검증 전.</x:v>
      </x:c>
      <x:c r="C29" s="13" t="str">
        <x:v>테스트 초안</x:v>
      </x:c>
      <x:c r="D29" s="13" t="str">
        <x:v>6행</x:v>
      </x:c>
    </x:row>
    <x:row r="30" ht="60" customHeight="1">
      <x:c r="A30" s="13" t="str">
        <x:v>09_전설15</x:v>
      </x:c>
      <x:c r="B30" s="13" t="str">
        <x:v>신규 설계: 테스트 초안. 실제 플레이 검증 전.</x:v>
      </x:c>
      <x:c r="C30" s="13" t="str">
        <x:v>테스트 초안</x:v>
      </x:c>
      <x:c r="D30" s="13" t="str">
        <x:v>15행</x:v>
      </x:c>
    </x:row>
    <x:row r="31" ht="60" customHeight="1">
      <x:c r="A31" s="13" t="str">
        <x:v>10_세트3</x:v>
      </x:c>
      <x:c r="B31" s="13" t="str">
        <x:v>신규 설계: 테스트 초안. 실제 플레이 검증 전.</x:v>
      </x:c>
      <x:c r="C31" s="13" t="str">
        <x:v>테스트 초안</x:v>
      </x:c>
      <x:c r="D31" s="13" t="str">
        <x:v>3행</x:v>
      </x:c>
    </x:row>
    <x:row r="32" ht="60" customHeight="1">
      <x:c r="A32" s="13" t="str">
        <x:v>11_세트장비12</x:v>
      </x:c>
      <x:c r="B32" s="13" t="str">
        <x:v>신규 설계: 테스트 초안. 실제 플레이 검증 전.</x:v>
      </x:c>
      <x:c r="C32" s="13" t="str">
        <x:v>테스트 초안</x:v>
      </x:c>
      <x:c r="D32" s="13" t="str">
        <x:v>12행</x:v>
      </x:c>
    </x:row>
    <x:row r="33" ht="60" customHeight="1">
      <x:c r="A33" s="13" t="str">
        <x:v>12_옵션24</x:v>
      </x:c>
      <x:c r="B33" s="13" t="str">
        <x:v>테스트 초안. 수치는 아이템레벨30 기준. 같은 ID 중복 추첨 금지. 평면형만 레벨 배율.</x:v>
      </x:c>
      <x:c r="C33" s="13" t="str">
        <x:v>테스트 초안</x:v>
      </x:c>
      <x:c r="D33" s="13" t="str">
        <x:v>24행</x:v>
      </x:c>
    </x:row>
    <x:row r="34" ht="60" customHeight="1">
      <x:c r="A34" s="13" t="str">
        <x:v>13_베이스24</x:v>
      </x:c>
      <x:c r="B34" s="13" t="str">
        <x:v>신규 설계: 테스트 초안. 실제 플레이 검증 전.</x:v>
      </x:c>
      <x:c r="C34" s="13" t="str">
        <x:v>테스트 초안</x:v>
      </x:c>
      <x:c r="D34" s="13" t="str">
        <x:v>24행</x:v>
      </x:c>
    </x:row>
    <x:row r="35" ht="60" customHeight="1">
      <x:c r="A35" s="13" t="str">
        <x:v>14_일반몹12</x:v>
      </x:c>
      <x:c r="B35" s="13" t="str">
        <x:v>신규 설계: 테스트 초안. 실제 플레이 검증 전.</x:v>
      </x:c>
      <x:c r="C35" s="13" t="str">
        <x:v>테스트 초안</x:v>
      </x:c>
      <x:c r="D35" s="13" t="str">
        <x:v>12행</x:v>
      </x:c>
    </x:row>
    <x:row r="36" ht="60" customHeight="1">
      <x:c r="A36" s="13" t="str">
        <x:v>15_정예6</x:v>
      </x:c>
      <x:c r="B36" s="13" t="str">
        <x:v>신규 설계: 테스트 초안. 실제 플레이 검증 전.</x:v>
      </x:c>
      <x:c r="C36" s="13" t="str">
        <x:v>테스트 초안</x:v>
      </x:c>
      <x:c r="D36" s="13" t="str">
        <x:v>6행</x:v>
      </x:c>
    </x:row>
    <x:row r="37" ht="60" customHeight="1">
      <x:c r="A37" s="13" t="str">
        <x:v>16_보스3</x:v>
      </x:c>
      <x:c r="B37" s="13" t="str">
        <x:v>신규 설계: 테스트 초안. 실제 플레이 검증 전.</x:v>
      </x:c>
      <x:c r="C37" s="13" t="str">
        <x:v>테스트 초안</x:v>
      </x:c>
      <x:c r="D37" s="13" t="str">
        <x:v>3행</x:v>
      </x:c>
    </x:row>
    <x:row r="38" ht="60" customHeight="1">
      <x:c r="A38" s="13" t="str">
        <x:v>17_방12</x:v>
      </x:c>
      <x:c r="B38" s="13" t="str">
        <x:v>신규 설계: 테스트 초안. 실제 플레이 검증 전.</x:v>
      </x:c>
      <x:c r="C38" s="13" t="str">
        <x:v>테스트 초안</x:v>
      </x:c>
      <x:c r="D38" s="13" t="str">
        <x:v>12행</x:v>
      </x:c>
    </x:row>
    <x:row r="39" ht="60" customHeight="1">
      <x:c r="A39" s="13" t="str">
        <x:v>18_경제보상</x:v>
      </x:c>
      <x:c r="B39" s="13" t="str">
        <x:v>신규 설계: 테스트 초안. 실제 플레이 검증 전.</x:v>
      </x:c>
      <x:c r="C39" s="13" t="str">
        <x:v>테스트 초안</x:v>
      </x:c>
      <x:c r="D39" s="13" t="str">
        <x:v>26행</x:v>
      </x:c>
    </x:row>
    <x:row r="40" ht="60" customHeight="1">
      <x:c r="A40" s="13" t="str">
        <x:v>19_보석참조</x:v>
      </x:c>
      <x:c r="B40" s="13" t="str">
        <x:v>주의: 디아블로4 1:1 전체 복제가 검증된 표가 아님. 검증대기 값을 출시 수치로 사용 금지. 계보·현재 수치·소켓·제작은 별도 대조.</x:v>
      </x:c>
      <x:c r="C40" s="13" t="str">
        <x:v>외부대조</x:v>
      </x:c>
      <x:c r="D40" s="13" t="str">
        <x:v>7행</x:v>
      </x:c>
    </x:row>
    <x:row r="41" ht="60" customHeight="1">
      <x:c r="A41" s="13" t="str">
        <x:v>20_보석단계대조</x:v>
      </x:c>
      <x:c r="B41" s="13" t="str">
        <x:v>8단계 참조 계보를 위한 작업표. 원작 전체 현행 단계·수치 검증 완료를 뜻하지 않음. 임의로 3단계로 축소하지 않음.</x:v>
      </x:c>
      <x:c r="C41" s="13" t="str">
        <x:v>외부대조</x:v>
      </x:c>
      <x:c r="D41" s="13" t="str">
        <x:v>8행</x:v>
      </x:c>
    </x:row>
    <x:row r="42" ht="60" customHeight="1">
      <x:c r="A42" s="13" t="str">
        <x:v>21_검증34</x:v>
      </x:c>
      <x:c r="B42" s="13" t="str">
        <x:v>전부 미실행 테스트 명세. 아래 통과조건을 실제 실행·측정했다고 주장하지 않음.</x:v>
      </x:c>
      <x:c r="C42" s="13" t="str">
        <x:v>테스트 초안</x:v>
      </x:c>
      <x:c r="D42" s="13" t="str">
        <x:v>34행</x:v>
      </x:c>
    </x:row>
    <x:row r="43" ht="60" customHeight="1">
      <x:c r="A43" s="13" t="str">
        <x:v>22_출처</x:v>
      </x:c>
      <x:c r="B43" s="13" t="str">
        <x:v>외부 사실과 자체 설계·사용자 확정을 구분. 마지막 웹 대조 2026-09-08.</x:v>
      </x:c>
      <x:c r="C43" s="13" t="str">
        <x:v>출처</x:v>
      </x:c>
      <x:c r="D43" s="13" t="str">
        <x:v>6행</x:v>
      </x:c>
    </x:row>
    <x:row r="44" ht="60" customHeight="1">
      <x:c r="A44" s="13" t="str">
        <x:v>23_밸런스곡선</x:v>
      </x:c>
      <x:c r="B44" s="13" t="str">
        <x:v>상수 참조 공식으로 단계1~60 계산</x:v>
      </x:c>
      <x:c r="C44" s="13" t="str">
        <x:v>테스트 초안</x:v>
      </x:c>
      <x:c r="D44" s="13" t="str">
        <x:v>실측 아님</x:v>
      </x:c>
    </x:row>
    <x:row r="45" ht="60" customHeight="1">
      <x:c r="A45" s="93" t="str">
        <x:v>24_균열등급확률</x:v>
      </x:c>
      <x:c r="B45" s="93" t="str">
        <x:v>현재 전투·소탕 단계별 등급 확률과 조절 파라미터</x:v>
      </x:c>
      <x:c r="C45" s="93" t="str">
        <x:v>테스트 초안</x:v>
      </x:c>
      <x:c r="D45" s="93" t="str">
        <x:v>24개 조합</x:v>
      </x:c>
    </x:row>
  </x:sheetData>
  <x:mergeCells>
    <x:mergeCell ref="A1:H1"/>
    <x:mergeCell ref="A2:H2"/>
    <x:mergeCell ref="A4:H4"/>
    <x:mergeCell ref="F6:H6"/>
    <x:mergeCell ref="F7:H8"/>
    <x:mergeCell ref="F9:H10"/>
    <x:mergeCell ref="F11:H12"/>
    <x:mergeCell ref="F13:H14"/>
    <x:mergeCell ref="F15:H16"/>
    <x:mergeCell ref="A18:H19"/>
  </x:mergeCells>
  <x:pageMargins left="0.7" right="0.7" top="0.75" bottom="0.75" header="0.3" footer="0.3"/>
</x:worksheet>
</file>

<file path=xl/worksheets/sheet2.xml><?xml version="1.0" encoding="utf-8"?>
<x:worksheet xmlns:x="http://schemas.openxmlformats.org/spreadsheetml/2006/main">
  <x:sheetFormatPr defaultRowHeight="15"/>
  <x:cols>
    <x:col min="1" max="1" width="10" hidden="0" customWidth="1"/>
    <x:col min="2" max="2" width="20" hidden="0" customWidth="1"/>
    <x:col min="3" max="3" width="42" hidden="0" customWidth="1"/>
  </x:cols>
  <x:sheetData>
    <x:row r="1" ht="30" customHeight="1">
      <x:c r="A1" s="3" t="str">
        <x:v>HELLSCRIPT 0.1  |  확정사항</x:v>
      </x:c>
      <x:c r="B1" s="3"/>
      <x:c r="C1" s="3"/>
    </x:row>
    <x:row r="2" ht="38" customHeight="1">
      <x:c r="A2" s="8" t="str">
        <x:v>출처: 현재 대화에서 사용자가 확정한 사항. 새로운 수치표와 구분.</x:v>
      </x:c>
      <x:c r="B2" s="8"/>
      <x:c r="C2" s="8"/>
    </x:row>
    <x:row r="4" ht="32" customHeight="1">
      <x:c r="A4" s="18" t="str">
        <x:v>ID</x:v>
      </x:c>
      <x:c r="B4" s="18" t="str">
        <x:v>영역</x:v>
      </x:c>
      <x:c r="C4" s="18" t="str">
        <x:v>확정 내용</x:v>
      </x:c>
    </x:row>
    <x:row r="5" ht="76" customHeight="1">
      <x:c r="A5" s="13" t="str">
        <x:v>C01</x:v>
      </x:c>
      <x:c r="B5" s="13" t="str">
        <x:v>플랫폼</x:v>
      </x:c>
      <x:c r="C5" s="13" t="str">
        <x:v>Unity / Android 세로 우선 / iOS·PC 확장 / 계정·진행도 공유</x:v>
      </x:c>
    </x:row>
    <x:row r="6" ht="76" customHeight="1">
      <x:c r="A6" s="13" t="str">
        <x:v>C02</x:v>
      </x:c>
      <x:c r="B6" s="13" t="str">
        <x:v>출시</x:v>
      </x:c>
      <x:c r="C6" s="13" t="str">
        <x:v>무료 진입·인앱 결제·얼리 액세스</x:v>
      </x:c>
    </x:row>
    <x:row r="7" ht="76" customHeight="1">
      <x:c r="A7" s="13" t="str">
        <x:v>C03</x:v>
      </x:c>
      <x:c r="B7" s="13" t="str">
        <x:v>표현</x:v>
      </x:c>
      <x:c r="C7" s="13" t="str">
        <x:v>고정 쿼터뷰 3D·다크 판타지. 고유 아트 제작</x:v>
      </x:c>
    </x:row>
    <x:row r="8" ht="76" customHeight="1">
      <x:c r="A8" s="13" t="str">
        <x:v>C04</x:v>
      </x:c>
      <x:c r="B8" s="13" t="str">
        <x:v>조작</x:v>
      </x:c>
      <x:c r="C8" s="13" t="str">
        <x:v>탐색·전투·물약·획득 100% 자동. 직접 이동·스킬 조작 없음</x:v>
      </x:c>
    </x:row>
    <x:row r="9" ht="76" customHeight="1">
      <x:c r="A9" s="13" t="str">
        <x:v>C05</x:v>
      </x:c>
      <x:c r="B9" s="13" t="str">
        <x:v>편집</x:v>
      </x:c>
      <x:c r="C9" s="13" t="str">
        <x:v>던전 일시정지 후 스크립트 수정·즉시 적용</x:v>
      </x:c>
    </x:row>
    <x:row r="10" ht="76" customHeight="1">
      <x:c r="A10" s="13" t="str">
        <x:v>C06</x:v>
      </x:c>
      <x:c r="B10" s="13" t="str">
        <x:v>스크립트 UI</x:v>
      </x:c>
      <x:c r="C10" s="13" t="str">
        <x:v>스킬별 설정표+공통 우선순위. 선택·수치 조절만으로 구성</x:v>
      </x:c>
    </x:row>
    <x:row r="11" ht="76" customHeight="1">
      <x:c r="A11" s="13" t="str">
        <x:v>C07</x:v>
      </x:c>
      <x:c r="B11" s="13" t="str">
        <x:v>행동 판정</x:v>
      </x:c>
      <x:c r="C11" s="13" t="str">
        <x:v>조건 충족→실행 가능 확인→우선순위 선정→발동·최선 후보로 실행</x:v>
      </x:c>
    </x:row>
    <x:row r="12" ht="76" customHeight="1">
      <x:c r="A12" s="13" t="str">
        <x:v>C08</x:v>
      </x:c>
      <x:c r="B12" s="13" t="str">
        <x:v>로그</x:v>
      </x:c>
      <x:c r="C12" s="13" t="str">
        <x:v>조건 발동 및 실행 기록. 최근 10회 스테이지 결과 보관</x:v>
      </x:c>
    </x:row>
    <x:row r="13" ht="76" customHeight="1">
      <x:c r="A13" s="13" t="str">
        <x:v>C09</x:v>
      </x:c>
      <x:c r="B13" s="13" t="str">
        <x:v>직업</x:v>
      </x:c>
      <x:c r="C13" s="13" t="str">
        <x:v>전사·궁수·마법사, 직업별 영웅 1명. 재화·창고 공용</x:v>
      </x:c>
    </x:row>
    <x:row r="14" ht="76" customHeight="1">
      <x:c r="A14" s="13" t="str">
        <x:v>C10</x:v>
      </x:c>
      <x:c r="B14" s="13" t="str">
        <x:v>성장</x:v>
      </x:c>
      <x:c r="C14" s="13" t="str">
        <x:v>최대 레벨 30. 별도 무한 능력치 성장 없음. 스킬·특성 무료 재설정</x:v>
      </x:c>
    </x:row>
    <x:row r="15" ht="76" customHeight="1">
      <x:c r="A15" s="13" t="str">
        <x:v>C11</x:v>
      </x:c>
      <x:c r="B15" s="13" t="str">
        <x:v>스킬 수</x:v>
      </x:c>
      <x:c r="C15" s="13" t="str">
        <x:v>직업별 기본 공격 1 / 액티브 6 중 4 / 패시브 6 중 3</x:v>
      </x:c>
    </x:row>
    <x:row r="16" ht="76" customHeight="1">
      <x:c r="A16" s="13" t="str">
        <x:v>C12</x:v>
      </x:c>
      <x:c r="B16" s="13" t="str">
        <x:v>프리셋</x:v>
      </x:c>
      <x:c r="C16" s="13" t="str">
        <x:v>직업별 추천 2개 / 전체 빌드 저장 3개</x:v>
      </x:c>
    </x:row>
    <x:row r="17" ht="76" customHeight="1">
      <x:c r="A17" s="13" t="str">
        <x:v>C13</x:v>
      </x:c>
      <x:c r="B17" s="13" t="str">
        <x:v>거점</x:v>
      </x:c>
      <x:c r="C17" s="13" t="str">
        <x:v>마을 1 / NPC 4 / 창고 / 훈련장</x:v>
      </x:c>
    </x:row>
    <x:row r="18" ht="76" customHeight="1">
      <x:c r="A18" s="13" t="str">
        <x:v>C14</x:v>
      </x:c>
      <x:c r="B18" s="13" t="str">
        <x:v>균열</x:v>
      </x:c>
      <x:c r="C18" s="13" t="str">
        <x:v>처치 게이지→보스→클리어 보상. 전체 제한 시간 초기 300초</x:v>
      </x:c>
    </x:row>
    <x:row r="19" ht="76" customHeight="1">
      <x:c r="A19" s="13" t="str">
        <x:v>C15</x:v>
      </x:c>
      <x:c r="B19" s="13" t="str">
        <x:v>지도</x:v>
      </x:c>
      <x:c r="C19" s="13" t="str">
        <x:v>막다른 길 없이 모든 길 연결. 적 찾기가 탐색의 중심</x:v>
      </x:c>
    </x:row>
    <x:row r="20" ht="76" customHeight="1">
      <x:c r="A20" s="13" t="str">
        <x:v>C16</x:v>
      </x:c>
      <x:c r="B20" s="13" t="str">
        <x:v>콘텐츠 수</x:v>
      </x:c>
      <x:c r="C20" s="13" t="str">
        <x:v>테마2 / 방12 / 일반 몬스터12 / 정예 특성6 / 보스3</x:v>
      </x:c>
    </x:row>
    <x:row r="21" ht="76" customHeight="1">
      <x:c r="A21" s="13" t="str">
        <x:v>C17</x:v>
      </x:c>
      <x:c r="B21" s="13" t="str">
        <x:v>실패</x:v>
      </x:c>
      <x:c r="C21" s="13" t="str">
        <x:v>이미 획득한 전리품 유지. 보스 미처치 시 보스 보상 없음</x:v>
      </x:c>
    </x:row>
    <x:row r="22" ht="76" customHeight="1">
      <x:c r="A22" s="13" t="str">
        <x:v>C18</x:v>
      </x:c>
      <x:c r="B22" s="13" t="str">
        <x:v>전투 방치</x:v>
      </x:c>
      <x:c r="C22" s="13" t="str">
        <x:v>실제 사냥·처치·획득. 보스 처치 시 보스 보상</x:v>
      </x:c>
    </x:row>
    <x:row r="23" ht="76" customHeight="1">
      <x:c r="A23" s="13" t="str">
        <x:v>C19</x:v>
      </x:c>
      <x:c r="B23" s="13" t="str">
        <x:v>오프라인</x:v>
      </x:c>
      <x:c r="C23" s="13" t="str">
        <x:v>골드+일반 강화 재료만. 장비·보석·코어·보스 보상 없음</x:v>
      </x:c>
    </x:row>
    <x:row r="24" ht="76" customHeight="1">
      <x:c r="A24" s="13" t="str">
        <x:v>C20</x:v>
      </x:c>
      <x:c r="B24" s="13" t="str">
        <x:v>소탕</x:v>
      </x:c>
      <x:c r="C24" s="13" t="str">
        <x:v>해당 영웅 최고 실제 클리어 단계의 반복 클리어 보상</x:v>
      </x:c>
    </x:row>
    <x:row r="25" ht="76" customHeight="1">
      <x:c r="A25" s="13" t="str">
        <x:v>C21</x:v>
      </x:c>
      <x:c r="B25" s="13" t="str">
        <x:v>장비</x:v>
      </x:c>
      <x:c r="C25" s="13" t="str">
        <x:v>8부위 / 일반·마법·레어·전설 / 베이스24 / 랜덤 옵션24 / 전설 효과15</x:v>
      </x:c>
    </x:row>
    <x:row r="26" ht="76" customHeight="1">
      <x:c r="A26" s="13" t="str">
        <x:v>C22</x:v>
      </x:c>
      <x:c r="B26" s="13" t="str">
        <x:v>세트</x:v>
      </x:c>
      <x:c r="C26" s="13" t="str">
        <x:v>직업별 4부위 1세트씩 총3세트·12개 / 2·4세트 효과</x:v>
      </x:c>
    </x:row>
    <x:row r="27" ht="76" customHeight="1">
      <x:c r="A27" s="13" t="str">
        <x:v>C23</x:v>
      </x:c>
      <x:c r="B27" s="13" t="str">
        <x:v>보석</x:v>
      </x:c>
      <x:c r="C27" s="13" t="str">
        <x:v>Diablo IV 일반 보석의 형태·효과·단계 참조. 간소화하지 않음</x:v>
      </x:c>
    </x:row>
    <x:row r="28" ht="76" customHeight="1">
      <x:c r="A28" s="13" t="str">
        <x:v>C24</x:v>
      </x:c>
      <x:c r="B28" s="13" t="str">
        <x:v>코어</x:v>
      </x:c>
      <x:c r="C28" s="13" t="str">
        <x:v>전설 분해→해당 부위 코어1 / 10개→현재 영웅용 해당 부위 전설. 세트 포함</x:v>
      </x:c>
    </x:row>
    <x:row r="29" ht="76" customHeight="1">
      <x:c r="A29" s="13" t="str">
        <x:v>C25</x:v>
      </x:c>
      <x:c r="B29" s="13" t="str">
        <x:v>희귀도</x:v>
      </x:c>
      <x:c r="C29" s="13" t="str">
        <x:v>전설 내부 등장 가중치 차등. 극희귀 전설 존재</x:v>
      </x:c>
    </x:row>
    <x:row r="30" ht="76" customHeight="1">
      <x:c r="A30" s="13" t="str">
        <x:v>C26</x:v>
      </x:c>
      <x:c r="B30" s="13" t="str">
        <x:v>상점</x:v>
      </x:c>
      <x:c r="C30" s="13" t="str">
        <x:v>골드로 부위가 보이는 미확인 장비 구매. 등급·옵션 추첨. 상시 재고</x:v>
      </x:c>
    </x:row>
    <x:row r="31" ht="100" customHeight="1">
      <x:c r="A31" s="13" t="str">
        <x:v>C27</x:v>
      </x:c>
      <x:c r="B31" s="13" t="str">
        <x:v>강화</x:v>
      </x:c>
      <x:c r="C31" s="13" t="str">
        <x:v>강화 실패·파괴 없음 / 옵션 1줄 재설정 / 분해·부위 제작
옵션 재설정 비용: 아이템레벨 기준, 시도횟수 무관 매회 동일. 고레벨일수록 레벨 간 비용 격차 확대</x:v>
      </x:c>
    </x:row>
    <x:row r="32" ht="76" customHeight="1">
      <x:c r="A32" s="13" t="str">
        <x:v>C28</x:v>
      </x:c>
      <x:c r="B32" s="13" t="str">
        <x:v>인벤토리</x:v>
      </x:c>
      <x:c r="C32" s="13" t="str">
        <x:v>영웅별 3탭 / 각50→10칸씩→100 / 추가탭 유료 / 확장도 영웅별</x:v>
      </x:c>
    </x:row>
    <x:row r="33" ht="76" customHeight="1">
      <x:c r="A33" s="13" t="str">
        <x:v>C29</x:v>
      </x:c>
      <x:c r="B33" s="13" t="str">
        <x:v>창고</x:v>
      </x:c>
      <x:c r="C33" s="13" t="str">
        <x:v>계정 공용 / 200칸×5탭 / 2탭 기본 / 나머지 유료</x:v>
      </x:c>
    </x:row>
    <x:row r="34" ht="76" customHeight="1">
      <x:c r="A34" s="13" t="str">
        <x:v>C30</x:v>
      </x:c>
      <x:c r="B34" s="13" t="str">
        <x:v>가득 참</x:v>
      </x:c>
      <x:c r="C34" s="13" t="str">
        <x:v>포탈 귀환·분해·복귀 / 최저가치 폐기 / 추가 획득 무시 중 선택</x:v>
      </x:c>
    </x:row>
    <x:row r="35" ht="76" customHeight="1">
      <x:c r="A35" s="13" t="str">
        <x:v>C31</x:v>
      </x:c>
      <x:c r="B35" s="13" t="str">
        <x:v>포탈</x:v>
      </x:c>
      <x:c r="C35" s="13" t="str">
        <x:v>자동 정리 중 던전 시간·전체 전투상태 동결. 회복·쿨 초기화 없음</x:v>
      </x:c>
    </x:row>
    <x:row r="36" ht="76" customHeight="1">
      <x:c r="A36" s="13" t="str">
        <x:v>C32</x:v>
      </x:c>
      <x:c r="B36" s="13" t="str">
        <x:v>폐기</x:v>
      </x:c>
      <x:c r="C36" s="13" t="str">
        <x:v>보호 먼저 / 등급→아이템레벨→판매가 / 후보 없으면 획득 무시</x:v>
      </x:c>
    </x:row>
    <x:row r="37" ht="76" customHeight="1">
      <x:c r="A37" s="13" t="str">
        <x:v>C33</x:v>
      </x:c>
      <x:c r="B37" s="13" t="str">
        <x:v>보호</x:v>
      </x:c>
      <x:c r="C37" s="13" t="str">
        <x:v>잠금·프리셋 사용 장비 보호. 전설·세트 폐기는 별도 허용</x:v>
      </x:c>
    </x:row>
    <x:row r="38" ht="76" customHeight="1">
      <x:c r="A38" s="13" t="str">
        <x:v>C34</x:v>
      </x:c>
      <x:c r="B38" s="13" t="str">
        <x:v>획득</x:v>
      </x:c>
      <x:c r="C38" s="13" t="str">
        <x:v>획득 허용·적극 회수·회수 우선순위 분리. 근접 자동 획득. 반경 옵션</x:v>
      </x:c>
    </x:row>
    <x:row r="39" ht="76" customHeight="1">
      <x:c r="A39" s="13" t="str">
        <x:v>C35</x:v>
      </x:c>
      <x:c r="B39" s="13" t="str">
        <x:v>훈련</x:v>
      </x:c>
      <x:c r="C39" s="13" t="str">
        <x:v>단일·다수·위험 공격 3상황 / 같은 조건 반복 / 이전 결과 비교</x:v>
      </x:c>
    </x:row>
  </x:sheetData>
  <x:mergeCells>
    <x:mergeCell ref="A1:C1"/>
    <x:mergeCell ref="A2:C2"/>
  </x:mergeCells>
  <x:pageMargins left="0.7" right="0.7" top="0.75" bottom="0.75" header="0.3" footer="0.3"/>
  <x:tableParts count="1">
    <x:tablePart xmlns:r="http://schemas.openxmlformats.org/officeDocument/2006/relationships" r:id="Rf50b4d37eba148b9"/>
  </x:tableParts>
</x:worksheet>
</file>

<file path=xl/worksheets/sheet3.xml><?xml version="1.0" encoding="utf-8"?>
<x:worksheet xmlns:x="http://schemas.openxmlformats.org/spreadsheetml/2006/main">
  <x:sheetFormatPr defaultRowHeight="15"/>
  <x:cols>
    <x:col min="1" max="1" width="23" hidden="0" customWidth="1"/>
    <x:col min="2" max="2" width="24" hidden="0" customWidth="1"/>
    <x:col min="3" max="3" width="12" hidden="0" customWidth="1"/>
    <x:col min="4" max="4" width="20" hidden="0" customWidth="1"/>
    <x:col min="5" max="5" width="22" hidden="0" customWidth="1"/>
    <x:col min="6" max="6" width="42" hidden="0" customWidth="1"/>
  </x:cols>
  <x:sheetData>
    <x:row r="1" ht="30" customHeight="1">
      <x:c r="A1" s="3" t="str">
        <x:v>HELLSCRIPT 0.1  |  전투상수</x:v>
      </x:c>
      <x:c r="B1" s="3"/>
      <x:c r="C1" s="3"/>
      <x:c r="D1" s="3"/>
      <x:c r="E1" s="3"/>
      <x:c r="F1" s="3"/>
    </x:row>
    <x:row r="2" ht="38" customHeight="1">
      <x:c r="A2" s="8" t="str">
        <x:v>신규 설계: 테스트 초안. 실제 플레이 검증 전.</x:v>
      </x:c>
      <x:c r="B2" s="8"/>
      <x:c r="C2" s="8"/>
      <x:c r="D2" s="8"/>
      <x:c r="E2" s="8"/>
      <x:c r="F2" s="8"/>
    </x:row>
    <x:row r="4" ht="32" customHeight="1">
      <x:c r="A4" s="18" t="str">
        <x:v>ID</x:v>
      </x:c>
      <x:c r="B4" s="18" t="str">
        <x:v>항목</x:v>
      </x:c>
      <x:c r="C4" s="18" t="str">
        <x:v>값</x:v>
      </x:c>
      <x:c r="D4" s="18" t="str">
        <x:v>단위</x:v>
      </x:c>
      <x:c r="E4" s="18" t="str">
        <x:v>상태</x:v>
      </x:c>
      <x:c r="F4" s="18" t="str">
        <x:v>적용 규칙</x:v>
      </x:c>
    </x:row>
    <x:row r="5" ht="76" customHeight="1">
      <x:c r="A5" s="13" t="str">
        <x:v>RIFT_TIME</x:v>
      </x:c>
      <x:c r="B5" s="13" t="str">
        <x:v>균열 제한 시간</x:v>
      </x:c>
      <x:c r="C5" s="22" t="n">
        <x:v>300</x:v>
      </x:c>
      <x:c r="D5" s="13" t="str">
        <x:v>초</x:v>
      </x:c>
      <x:c r="E5" s="13" t="str">
        <x:v>사용자 승인 초기값</x:v>
      </x:c>
      <x:c r="F5" s="13" t="str">
        <x:v>전투·탐색만 감소. 편집·마을 자동정리 중 동결</x:v>
      </x:c>
    </x:row>
    <x:row r="6" ht="76" customHeight="1">
      <x:c r="A6" s="13" t="str">
        <x:v>SIM_STEP</x:v>
      </x:c>
      <x:c r="B6" s="13" t="str">
        <x:v>전투 갱신 간격</x:v>
      </x:c>
      <x:c r="C6" s="22" t="n">
        <x:v>0.05</x:v>
      </x:c>
      <x:c r="D6" s="13" t="str">
        <x:v>초</x:v>
      </x:c>
      <x:c r="E6" s="13" t="str">
        <x:v>테스트 초안</x:v>
      </x:c>
      <x:c r="F6" s="13" t="str">
        <x:v>렌더링 프레임과 분리</x:v>
      </x:c>
    </x:row>
    <x:row r="7" ht="76" customHeight="1">
      <x:c r="A7" s="13" t="str">
        <x:v>RULE_STEP</x:v>
      </x:c>
      <x:c r="B7" s="13" t="str">
        <x:v>규칙 평가 간격</x:v>
      </x:c>
      <x:c r="C7" s="22" t="n">
        <x:v>0.2</x:v>
      </x:c>
      <x:c r="D7" s="13" t="str">
        <x:v>초</x:v>
      </x:c>
      <x:c r="E7" s="13" t="str">
        <x:v>테스트 초안</x:v>
      </x:c>
      <x:c r="F7" s="13" t="str">
        <x:v>상태 변화 이벤트는 다음 판정에 반영</x:v>
      </x:c>
    </x:row>
    <x:row r="8" ht="76" customHeight="1">
      <x:c r="A8" s="13" t="str">
        <x:v>SENSOR_RADIUS</x:v>
      </x:c>
      <x:c r="B8" s="13" t="str">
        <x:v>적 인지 거리</x:v>
      </x:c>
      <x:c r="C8" s="22" t="n">
        <x:v>12</x:v>
      </x:c>
      <x:c r="D8" s="13" t="str">
        <x:v>m</x:v>
      </x:c>
      <x:c r="E8" s="13" t="str">
        <x:v>테스트 초안</x:v>
      </x:c>
      <x:c r="F8" s="13" t="str">
        <x:v>플랫폼/화면 비율과 무관. 시야선 적용</x:v>
      </x:c>
    </x:row>
    <x:row r="9" ht="76" customHeight="1">
      <x:c r="A9" s="13" t="str">
        <x:v>PICKUP_RADIUS</x:v>
      </x:c>
      <x:c r="B9" s="13" t="str">
        <x:v>기본 획득 반경</x:v>
      </x:c>
      <x:c r="C9" s="22" t="n">
        <x:v>1.5</x:v>
      </x:c>
      <x:c r="D9" s="13" t="str">
        <x:v>m</x:v>
      </x:c>
      <x:c r="E9" s="13" t="str">
        <x:v>테스트 초안</x:v>
      </x:c>
      <x:c r="F9" s="13" t="str">
        <x:v>옵션으로 증가, 최대 6m</x:v>
      </x:c>
    </x:row>
    <x:row r="10" ht="76" customHeight="1">
      <x:c r="A10" s="13" t="str">
        <x:v>RESOURCE_MAX</x:v>
      </x:c>
      <x:c r="B10" s="13" t="str">
        <x:v>기본 자원 최대</x:v>
      </x:c>
      <x:c r="C10" s="22" t="n">
        <x:v>100</x:v>
      </x:c>
      <x:c r="D10" s="13" t="str">
        <x:v>점</x:v>
      </x:c>
      <x:c r="E10" s="13" t="str">
        <x:v>테스트 초안</x:v>
      </x:c>
      <x:c r="F10" s="13" t="str">
        <x:v>분노·집중·마나 이름만 분리</x:v>
      </x:c>
    </x:row>
    <x:row r="11" ht="76" customHeight="1">
      <x:c r="A11" s="13" t="str">
        <x:v>POTION_CD</x:v>
      </x:c>
      <x:c r="B11" s="13" t="str">
        <x:v>물약 재사용</x:v>
      </x:c>
      <x:c r="C11" s="22" t="n">
        <x:v>20</x:v>
      </x:c>
      <x:c r="D11" s="13" t="str">
        <x:v>초</x:v>
      </x:c>
      <x:c r="E11" s="13" t="str">
        <x:v>테스트 초안</x:v>
      </x:c>
      <x:c r="F11" s="13" t="str">
        <x:v>자동 규칙 / 골드 소모·충전 재료 없음</x:v>
      </x:c>
    </x:row>
    <x:row r="12" ht="76" customHeight="1">
      <x:c r="A12" s="13" t="str">
        <x:v>POTION_HEAL</x:v>
      </x:c>
      <x:c r="B12" s="13" t="str">
        <x:v>물약 회복 비율</x:v>
      </x:c>
      <x:c r="C12" s="22" t="n">
        <x:v>0.35</x:v>
      </x:c>
      <x:c r="D12" s="13" t="str">
        <x:v>최대HP 비율</x:v>
      </x:c>
      <x:c r="E12" s="13" t="str">
        <x:v>테스트 초안</x:v>
      </x:c>
      <x:c r="F12" s="13" t="str">
        <x:v>회복량 증가 적용</x:v>
      </x:c>
    </x:row>
    <x:row r="13" ht="76" customHeight="1">
      <x:c r="A13" s="13" t="str">
        <x:v>BASE_CRIT</x:v>
      </x:c>
      <x:c r="B13" s="13" t="str">
        <x:v>기본 치명 확률</x:v>
      </x:c>
      <x:c r="C13" s="22" t="n">
        <x:v>0.05</x:v>
      </x:c>
      <x:c r="D13" s="13" t="str">
        <x:v>비율</x:v>
      </x:c>
      <x:c r="E13" s="13" t="str">
        <x:v>테스트 초안</x:v>
      </x:c>
      <x:c r="F13" s="13" t="str">
        <x:v>민첩·장비·효과 합산</x:v>
      </x:c>
    </x:row>
    <x:row r="14" ht="76" customHeight="1">
      <x:c r="A14" s="13" t="str">
        <x:v>BASE_CRIT_MULT</x:v>
      </x:c>
      <x:c r="B14" s="13" t="str">
        <x:v>기본 치명 배율</x:v>
      </x:c>
      <x:c r="C14" s="22" t="n">
        <x:v>1.5</x:v>
      </x:c>
      <x:c r="D14" s="13" t="str">
        <x:v>배</x:v>
      </x:c>
      <x:c r="E14" s="13" t="str">
        <x:v>테스트 초안</x:v>
      </x:c>
      <x:c r="F14" s="13" t="str">
        <x:v>DoT 기본 치명 없음</x:v>
      </x:c>
    </x:row>
    <x:row r="15" ht="76" customHeight="1">
      <x:c r="A15" s="13" t="str">
        <x:v>CRIT_CAP</x:v>
      </x:c>
      <x:c r="B15" s="13" t="str">
        <x:v>치명 확률 상한</x:v>
      </x:c>
      <x:c r="C15" s="22" t="n">
        <x:v>0.75</x:v>
      </x:c>
      <x:c r="D15" s="13" t="str">
        <x:v>비율</x:v>
      </x:c>
      <x:c r="E15" s="13" t="str">
        <x:v>테스트 초안</x:v>
      </x:c>
      <x:c r="F15" s="13" t="str">
        <x:v>최종 상한</x:v>
      </x:c>
    </x:row>
    <x:row r="16" ht="76" customHeight="1">
      <x:c r="A16" s="13" t="str">
        <x:v>CDR_CAP</x:v>
      </x:c>
      <x:c r="B16" s="13" t="str">
        <x:v>쿨타임 감소 상한</x:v>
      </x:c>
      <x:c r="C16" s="22" t="n">
        <x:v>0.4</x:v>
      </x:c>
      <x:c r="D16" s="13" t="str">
        <x:v>비율</x:v>
      </x:c>
      <x:c r="E16" s="13" t="str">
        <x:v>테스트 초안</x:v>
      </x:c>
      <x:c r="F16" s="13" t="str">
        <x:v>합산 후 상한</x:v>
      </x:c>
    </x:row>
    <x:row r="17" ht="76" customHeight="1">
      <x:c r="A17" s="13" t="str">
        <x:v>COST_CAP</x:v>
      </x:c>
      <x:c r="B17" s="13" t="str">
        <x:v>자원 소모 감소 상한</x:v>
      </x:c>
      <x:c r="C17" s="22" t="n">
        <x:v>0.5</x:v>
      </x:c>
      <x:c r="D17" s="13" t="str">
        <x:v>비율</x:v>
      </x:c>
      <x:c r="E17" s="13" t="str">
        <x:v>테스트 초안</x:v>
      </x:c>
      <x:c r="F17" s="13" t="str">
        <x:v>기본 자원 감소용 상한</x:v>
      </x:c>
    </x:row>
    <x:row r="18" ht="76" customHeight="1">
      <x:c r="A18" s="13" t="str">
        <x:v>AS_CAP</x:v>
      </x:c>
      <x:c r="B18" s="13" t="str">
        <x:v>공격속도 보너스 상한</x:v>
      </x:c>
      <x:c r="C18" s="22" t="n">
        <x:v>0.5</x:v>
      </x:c>
      <x:c r="D18" s="13" t="str">
        <x:v>비율</x:v>
      </x:c>
      <x:c r="E18" s="13" t="str">
        <x:v>테스트 초안</x:v>
      </x:c>
      <x:c r="F18" s="13" t="str">
        <x:v>기본공격·지정 공격 시전만</x:v>
      </x:c>
    </x:row>
    <x:row r="19" ht="76" customHeight="1">
      <x:c r="A19" s="13" t="str">
        <x:v>MS_CAP</x:v>
      </x:c>
      <x:c r="B19" s="13" t="str">
        <x:v>이동속도 보너스 상한</x:v>
      </x:c>
      <x:c r="C19" s="22" t="n">
        <x:v>0.5</x:v>
      </x:c>
      <x:c r="D19" s="13" t="str">
        <x:v>비율</x:v>
      </x:c>
      <x:c r="E19" s="13" t="str">
        <x:v>테스트 초안</x:v>
      </x:c>
      <x:c r="F19" s="13" t="str">
        <x:v>도약·순간이동 비행 시간에는 미적용</x:v>
      </x:c>
    </x:row>
    <x:row r="20" ht="76" customHeight="1">
      <x:c r="A20" s="13" t="str">
        <x:v>ARMOR_CAP</x:v>
      </x:c>
      <x:c r="B20" s="13" t="str">
        <x:v>물리 피해 감소 상한</x:v>
      </x:c>
      <x:c r="C20" s="22" t="n">
        <x:v>0.75</x:v>
      </x:c>
      <x:c r="D20" s="13" t="str">
        <x:v>비율</x:v>
      </x:c>
      <x:c r="E20" s="13" t="str">
        <x:v>테스트 초안</x:v>
      </x:c>
      <x:c r="F20" s="13" t="str">
        <x:v>방어도 공식</x:v>
      </x:c>
    </x:row>
    <x:row r="21" ht="76" customHeight="1">
      <x:c r="A21" s="13" t="str">
        <x:v>RESIST_CAP</x:v>
      </x:c>
      <x:c r="B21" s="13" t="str">
        <x:v>속성 저항 감소 상한</x:v>
      </x:c>
      <x:c r="C21" s="22" t="n">
        <x:v>0.7</x:v>
      </x:c>
      <x:c r="D21" s="13" t="str">
        <x:v>비율</x:v>
      </x:c>
      <x:c r="E21" s="13" t="str">
        <x:v>테스트 초안</x:v>
      </x:c>
      <x:c r="F21" s="13" t="str">
        <x:v>속성별 저항 공식</x:v>
      </x:c>
    </x:row>
    <x:row r="22" ht="76" customHeight="1">
      <x:c r="A22" s="13" t="str">
        <x:v>DR_CAP</x:v>
      </x:c>
      <x:c r="B22" s="13" t="str">
        <x:v>버프 피해 감소 상한</x:v>
      </x:c>
      <x:c r="C22" s="22" t="n">
        <x:v>0.5</x:v>
      </x:c>
      <x:c r="D22" s="13" t="str">
        <x:v>비율</x:v>
      </x:c>
      <x:c r="E22" s="13" t="str">
        <x:v>테스트 초안</x:v>
      </x:c>
      <x:c r="F22" s="13" t="str">
        <x:v>동일 효과 중첩 없음</x:v>
      </x:c>
    </x:row>
    <x:row r="23" ht="76" customHeight="1">
      <x:c r="A23" s="13" t="str">
        <x:v>PROGRESS_GOAL</x:v>
      </x:c>
      <x:c r="B23" s="13" t="str">
        <x:v>보스 소환 처치 점수</x:v>
      </x:c>
      <x:c r="C23" s="22" t="n">
        <x:v>100</x:v>
      </x:c>
      <x:c r="D23" s="13" t="str">
        <x:v>점</x:v>
      </x:c>
      <x:c r="E23" s="13" t="str">
        <x:v>테스트 초안</x:v>
      </x:c>
      <x:c r="F23" s="13" t="str">
        <x:v>일반1 / 정예5 / 소환몹0</x:v>
      </x:c>
    </x:row>
    <x:row r="24" ht="76" customHeight="1">
      <x:c r="A24" s="13" t="str">
        <x:v>PROGRESS_SUPPLY</x:v>
      </x:c>
      <x:c r="B24" s="13" t="str">
        <x:v>맵 최소 처치 점수</x:v>
      </x:c>
      <x:c r="C24" s="22" t="n">
        <x:v>150</x:v>
      </x:c>
      <x:c r="D24" s="13" t="str">
        <x:v>점</x:v>
      </x:c>
      <x:c r="E24" s="13" t="str">
        <x:v>테스트 초안</x:v>
      </x:c>
      <x:c r="F24" s="13" t="str">
        <x:v>생성 검증 통과 조건</x:v>
      </x:c>
    </x:row>
    <x:row r="25" ht="76" customHeight="1">
      <x:c r="A25" s="13" t="str">
        <x:v>BASE_MON_HP</x:v>
      </x:c>
      <x:c r="B25" s="13" t="str">
        <x:v>1단 일반 기준 HP</x:v>
      </x:c>
      <x:c r="C25" s="22" t="n">
        <x:v>70</x:v>
      </x:c>
      <x:c r="D25" s="13" t="str">
        <x:v>HP</x:v>
      </x:c>
      <x:c r="E25" s="13" t="str">
        <x:v>테스트 초안</x:v>
      </x:c>
      <x:c r="F25" s="13" t="str">
        <x:v>몬스터 유형 배수 적용</x:v>
      </x:c>
    </x:row>
    <x:row r="26" ht="76" customHeight="1">
      <x:c r="A26" s="13" t="str">
        <x:v>BASE_MON_ATK</x:v>
      </x:c>
      <x:c r="B26" s="13" t="str">
        <x:v>1단 일반 기준 공격</x:v>
      </x:c>
      <x:c r="C26" s="22" t="n">
        <x:v>18</x:v>
      </x:c>
      <x:c r="D26" s="13" t="str">
        <x:v>피해</x:v>
      </x:c>
      <x:c r="E26" s="13" t="str">
        <x:v>테스트 초안</x:v>
      </x:c>
      <x:c r="F26" s="13" t="str">
        <x:v>몬스터 유형 배수 적용</x:v>
      </x:c>
    </x:row>
    <x:row r="27" ht="76" customHeight="1">
      <x:c r="A27" s="13" t="str">
        <x:v>MON_HP_GROWTH</x:v>
      </x:c>
      <x:c r="B27" s="13" t="str">
        <x:v>단계당 몬스터 HP 증가</x:v>
      </x:c>
      <x:c r="C27" s="22" t="n">
        <x:v>0.08</x:v>
      </x:c>
      <x:c r="D27" s="13" t="str">
        <x:v>비율</x:v>
      </x:c>
      <x:c r="E27" s="13" t="str">
        <x:v>테스트 초안</x:v>
      </x:c>
      <x:c r="F27" s="13" t="str">
        <x:v>HP=기준×유형×(1+증가)^(단계-1)</x:v>
      </x:c>
    </x:row>
    <x:row r="28" ht="76" customHeight="1">
      <x:c r="A28" s="13" t="str">
        <x:v>MON_ATK_GROWTH</x:v>
      </x:c>
      <x:c r="B28" s="13" t="str">
        <x:v>단계당 몬스터 공격 증가</x:v>
      </x:c>
      <x:c r="C28" s="22" t="n">
        <x:v>0.055</x:v>
      </x:c>
      <x:c r="D28" s="13" t="str">
        <x:v>비율</x:v>
      </x:c>
      <x:c r="E28" s="13" t="str">
        <x:v>테스트 초안</x:v>
      </x:c>
      <x:c r="F28" s="13" t="str">
        <x:v>공격=기준×유형×(1+증가)^(단계-1)</x:v>
      </x:c>
    </x:row>
    <x:row r="29" ht="76" customHeight="1">
      <x:c r="A29" s="13" t="str">
        <x:v>GEAR_GROWTH</x:v>
      </x:c>
      <x:c r="B29" s="13" t="str">
        <x:v>아이템 주능력 성장</x:v>
      </x:c>
      <x:c r="C29" s="22" t="n">
        <x:v>0.08</x:v>
      </x:c>
      <x:c r="D29" s="13" t="str">
        <x:v>아이템레벨당</x:v>
      </x:c>
      <x:c r="E29" s="13" t="str">
        <x:v>테스트 초안</x:v>
      </x:c>
      <x:c r="F29" s="13" t="str">
        <x:v>주능력 배율=1+증가×(아이템레벨-1)</x:v>
      </x:c>
    </x:row>
    <x:row r="30" ht="76" customHeight="1">
      <x:c r="A30" s="13" t="str">
        <x:v>BOSS_HP_MULT</x:v>
      </x:c>
      <x:c r="B30" s="13" t="str">
        <x:v>기준 보스 HP 배수</x:v>
      </x:c>
      <x:c r="C30" s="22" t="n">
        <x:v>45</x:v>
      </x:c>
      <x:c r="D30" s="13" t="str">
        <x:v>배</x:v>
      </x:c>
      <x:c r="E30" s="13" t="str">
        <x:v>테스트 초안</x:v>
      </x:c>
      <x:c r="F30" s="13" t="str">
        <x:v>일반 기준HP 대비, 보스별 추가 배수</x:v>
      </x:c>
    </x:row>
    <x:row r="31" ht="76" customHeight="1">
      <x:c r="A31" s="13" t="str">
        <x:v>BOSS_ATK_MULT</x:v>
      </x:c>
      <x:c r="B31" s="13" t="str">
        <x:v>기준 보스 공격 배수</x:v>
      </x:c>
      <x:c r="C31" s="22" t="n">
        <x:v>3</x:v>
      </x:c>
      <x:c r="D31" s="13" t="str">
        <x:v>배</x:v>
      </x:c>
      <x:c r="E31" s="13" t="str">
        <x:v>테스트 초안</x:v>
      </x:c>
      <x:c r="F31" s="13" t="str">
        <x:v>기준 공격 대비</x:v>
      </x:c>
    </x:row>
    <x:row r="32" ht="76" customHeight="1">
      <x:c r="A32" s="13" t="str">
        <x:v>OFFLINE_CAP_H</x:v>
      </x:c>
      <x:c r="B32" s="13" t="str">
        <x:v>오프라인 보상 상한</x:v>
      </x:c>
      <x:c r="C32" s="22" t="n">
        <x:v>12</x:v>
      </x:c>
      <x:c r="D32" s="13" t="str">
        <x:v>시간</x:v>
      </x:c>
      <x:c r="E32" s="13" t="str">
        <x:v>테스트 초안</x:v>
      </x:c>
      <x:c r="F32" s="13" t="str">
        <x:v>사용자 확정 아님</x:v>
      </x:c>
    </x:row>
    <x:row r="33" ht="76" customHeight="1">
      <x:c r="A33" s="13" t="str">
        <x:v>SWEEP_DAILY</x:v>
      </x:c>
      <x:c r="B33" s="13" t="str">
        <x:v>계정 일일 무료 소탕</x:v>
      </x:c>
      <x:c r="C33" s="22" t="n">
        <x:v>3</x:v>
      </x:c>
      <x:c r="D33" s="13" t="str">
        <x:v>회</x:v>
      </x:c>
      <x:c r="E33" s="13" t="str">
        <x:v>테스트 초안</x:v>
      </x:c>
      <x:c r="F33" s="13" t="str">
        <x:v>유료 추가 소탕 없음. 사용자 확정 아님</x:v>
      </x:c>
    </x:row>
    <x:row r="34" ht="76" customHeight="1">
      <x:c r="A34" s="13" t="str">
        <x:v>LOG_RUNS</x:v>
      </x:c>
      <x:c r="B34" s="13" t="str">
        <x:v>상세 로그 보관</x:v>
      </x:c>
      <x:c r="C34" s="22" t="n">
        <x:v>10</x:v>
      </x:c>
      <x:c r="D34" s="13" t="str">
        <x:v>회</x:v>
      </x:c>
      <x:c r="E34" s="13" t="str">
        <x:v>사용자 확정</x:v>
      </x:c>
      <x:c r="F34" s="13" t="str">
        <x:v>최고기록·보상영수증·경제집계는 별도</x:v>
      </x:c>
    </x:row>
    <x:row r="35" ht="76" customHeight="1">
      <x:c r="A35" s="13" t="str">
        <x:v>RULE_LIMIT</x:v>
      </x:c>
      <x:c r="B35" s="13" t="str">
        <x:v>프리셋 최대 규칙</x:v>
      </x:c>
      <x:c r="C35" s="22" t="n">
        <x:v>24</x:v>
      </x:c>
      <x:c r="D35" s="13" t="str">
        <x:v>개</x:v>
      </x:c>
      <x:c r="E35" s="13" t="str">
        <x:v>테스트 초안</x:v>
      </x:c>
      <x:c r="F35" s="13" t="str">
        <x:v>스킬별 최대3 + 공통 규칙</x:v>
      </x:c>
    </x:row>
    <x:row r="36" ht="76" customHeight="1">
      <x:c r="A36" s="13" t="str">
        <x:v>TARGET_HOLD</x:v>
      </x:c>
      <x:c r="B36" s="13" t="str">
        <x:v>타깃 최소 유지</x:v>
      </x:c>
      <x:c r="C36" s="22" t="n">
        <x:v>0.6</x:v>
      </x:c>
      <x:c r="D36" s="13" t="str">
        <x:v>초</x:v>
      </x:c>
      <x:c r="E36" s="13" t="str">
        <x:v>테스트 초안</x:v>
      </x:c>
      <x:c r="F36" s="13" t="str">
        <x:v>상위 생존 규칙·대상 소멸은 즉시 재판정</x:v>
      </x:c>
    </x:row>
    <x:row r="37" ht="76" customHeight="1">
      <x:c r="A37" s="13" t="str">
        <x:v>RANGE_HYSTERESIS</x:v>
      </x:c>
      <x:c r="B37" s="13" t="str">
        <x:v>거리 유지 허용 오차</x:v>
      </x:c>
      <x:c r="C37" s="22" t="n">
        <x:v>0.75</x:v>
      </x:c>
      <x:c r="D37" s="13" t="str">
        <x:v>m</x:v>
      </x:c>
      <x:c r="E37" s="13" t="str">
        <x:v>테스트 초안</x:v>
      </x:c>
      <x:c r="F37" s="13" t="str">
        <x:v>경계 왕복 방지</x:v>
      </x:c>
    </x:row>
    <x:row r="38" ht="76" customHeight="1">
      <x:c r="A38" s="13" t="str">
        <x:v>BOSS_GOLD_BASE</x:v>
      </x:c>
      <x:c r="B38" s="13" t="str">
        <x:v>보스 골드 기본</x:v>
      </x:c>
      <x:c r="C38" s="22" t="n">
        <x:v>800</x:v>
      </x:c>
      <x:c r="D38" s="13" t="str">
        <x:v>골드</x:v>
      </x:c>
      <x:c r="E38" s="13" t="str">
        <x:v>테스트 초안</x:v>
      </x:c>
      <x:c r="F38" s="13" t="str">
        <x:v>반복 클리어 보상</x:v>
      </x:c>
    </x:row>
    <x:row r="39" ht="76" customHeight="1">
      <x:c r="A39" s="13" t="str">
        <x:v>BOSS_GOLD_PER_R</x:v>
      </x:c>
      <x:c r="B39" s="13" t="str">
        <x:v>보스 골드 단계당</x:v>
      </x:c>
      <x:c r="C39" s="22" t="n">
        <x:v>50</x:v>
      </x:c>
      <x:c r="D39" s="13" t="str">
        <x:v>골드</x:v>
      </x:c>
      <x:c r="E39" s="13" t="str">
        <x:v>테스트 초안</x:v>
      </x:c>
      <x:c r="F39" s="13" t="str">
        <x:v>R에 곱함</x:v>
      </x:c>
    </x:row>
    <x:row r="40" ht="76" customHeight="1">
      <x:c r="A40" s="13" t="str">
        <x:v>OFF_GOLD_BASE</x:v>
      </x:c>
      <x:c r="B40" s="13" t="str">
        <x:v>오프라인 시간당 기본골드</x:v>
      </x:c>
      <x:c r="C40" s="22" t="n">
        <x:v>200</x:v>
      </x:c>
      <x:c r="D40" s="13" t="str">
        <x:v>골드/시간</x:v>
      </x:c>
      <x:c r="E40" s="13" t="str">
        <x:v>테스트 초안</x:v>
      </x:c>
      <x:c r="F40" s="13" t="str">
        <x:v>계정 1단 클리어 후 해금</x:v>
      </x:c>
    </x:row>
    <x:row r="41" ht="76" customHeight="1">
      <x:c r="A41" s="13" t="str">
        <x:v>OFF_GOLD_PER_R</x:v>
      </x:c>
      <x:c r="B41" s="13" t="str">
        <x:v>오프라인 단계당 골드</x:v>
      </x:c>
      <x:c r="C41" s="22" t="n">
        <x:v>40</x:v>
      </x:c>
      <x:c r="D41" s="13" t="str">
        <x:v>골드/시간</x:v>
      </x:c>
      <x:c r="E41" s="13" t="str">
        <x:v>테스트 초안</x:v>
      </x:c>
      <x:c r="F41" s="13" t="str">
        <x:v>계정 최고클리어 단계</x:v>
      </x:c>
    </x:row>
    <x:row r="42" ht="76" customHeight="1">
      <x:c r="A42" s="13" t="str">
        <x:v>WEAPON_BASE</x:v>
      </x:c>
      <x:c r="B42" s="13" t="str">
        <x:v>기준 무기 주능력</x:v>
      </x:c>
      <x:c r="C42" s="22" t="n">
        <x:v>20</x:v>
      </x:c>
      <x:c r="D42" s="13" t="str">
        <x:v>피해</x:v>
      </x:c>
      <x:c r="E42" s="13" t="str">
        <x:v>테스트 초안</x:v>
      </x:c>
      <x:c r="F42" s="13" t="str">
        <x:v>기본공격 속도1인 표준형</x:v>
      </x:c>
    </x:row>
    <x:row r="43" ht="76" customHeight="1">
      <x:c r="A43" s="13" t="str">
        <x:v>ITEM_LVL_REF</x:v>
      </x:c>
      <x:c r="B43" s="13" t="str">
        <x:v>평면 옵션 기준레벨</x:v>
      </x:c>
      <x:c r="C43" s="22" t="n">
        <x:v>30</x:v>
      </x:c>
      <x:c r="D43" s="13" t="str">
        <x:v>레벨</x:v>
      </x:c>
      <x:c r="E43" s="13" t="str">
        <x:v>테스트 초안</x:v>
      </x:c>
      <x:c r="F43" s="13" t="str">
        <x:v>옵션24의 기준 수치</x:v>
      </x:c>
    </x:row>
    <x:row r="44" ht="76" customHeight="1">
      <x:c r="A44" s="13" t="str">
        <x:v>FLAT_AFFIX_GROWTH</x:v>
      </x:c>
      <x:c r="B44" s="13" t="str">
        <x:v>평면 옵션 레벨 성장</x:v>
      </x:c>
      <x:c r="C44" s="22" t="n">
        <x:v>0.03</x:v>
      </x:c>
      <x:c r="D44" s="13" t="str">
        <x:v>레벨당</x:v>
      </x:c>
      <x:c r="E44" s="13" t="str">
        <x:v>테스트 초안</x:v>
      </x:c>
      <x:c r="F44" s="13" t="str">
        <x:v>(1+성장×(iLv-1))/(1+성장×(기준Lv-1))</x:v>
      </x:c>
    </x:row>
  </x:sheetData>
  <x:mergeCells>
    <x:mergeCell ref="A1:F1"/>
    <x:mergeCell ref="A2:F2"/>
  </x:mergeCells>
  <x:dataValidations count="1">
    <x:dataValidation type="list" sqref="E5:E44">
      <x:formula1>"사용자 확정,사용자 승인 초기값,테스트 초안,외부대조"</x:formula1>
    </x:dataValidation>
  </x:dataValidations>
  <x:pageMargins left="0.7" right="0.7" top="0.75" bottom="0.75" header="0.3" footer="0.3"/>
  <x:tableParts count="1">
    <x:tablePart xmlns:r="http://schemas.openxmlformats.org/officeDocument/2006/relationships" r:id="R95b2f69aa2104a63"/>
  </x:tableParts>
</x:worksheet>
</file>

<file path=xl/worksheets/sheet4.xml><?xml version="1.0" encoding="utf-8"?>
<x:worksheet xmlns:x="http://schemas.openxmlformats.org/spreadsheetml/2006/main">
  <x:sheetFormatPr defaultRowHeight="15"/>
  <x:cols>
    <x:col min="1" max="1" width="16" hidden="0" customWidth="1"/>
    <x:col min="2" max="2" width="13" hidden="0" customWidth="1"/>
    <x:col min="3" max="3" width="12" hidden="0" customWidth="1"/>
    <x:col min="4" max="4" width="12" hidden="0" customWidth="1"/>
    <x:col min="5" max="5" width="14" hidden="0" customWidth="1"/>
    <x:col min="6" max="6" width="14" hidden="0" customWidth="1"/>
    <x:col min="7" max="7" width="10" hidden="0" customWidth="1"/>
    <x:col min="8" max="8" width="10" hidden="0" customWidth="1"/>
    <x:col min="9" max="9" width="10" hidden="0" customWidth="1"/>
    <x:col min="10" max="10" width="10" hidden="0" customWidth="1"/>
    <x:col min="11" max="11" width="12" hidden="0" customWidth="1"/>
    <x:col min="12" max="12" width="12" hidden="0" customWidth="1"/>
    <x:col min="13" max="13" width="42" hidden="0" customWidth="1"/>
  </x:cols>
  <x:sheetData>
    <x:row r="1" ht="30" customHeight="1">
      <x:c r="A1" s="3" t="str">
        <x:v>HELLSCRIPT 0.1  |  직업기본</x:v>
      </x:c>
      <x:c r="B1" s="3"/>
      <x:c r="C1" s="3"/>
      <x:c r="D1" s="3"/>
      <x:c r="E1" s="3"/>
      <x:c r="F1" s="3"/>
      <x:c r="G1" s="3"/>
      <x:c r="H1" s="3"/>
      <x:c r="I1" s="3"/>
      <x:c r="J1" s="3"/>
      <x:c r="K1" s="3"/>
      <x:c r="L1" s="3"/>
      <x:c r="M1" s="3"/>
    </x:row>
    <x:row r="2" ht="38" customHeight="1">
      <x:c r="A2" s="8" t="str">
        <x:v>신규 설계: 테스트 초안. 실제 플레이 검증 전.</x:v>
      </x:c>
      <x:c r="B2" s="8"/>
      <x:c r="C2" s="8"/>
      <x:c r="D2" s="8"/>
      <x:c r="E2" s="8"/>
      <x:c r="F2" s="8"/>
      <x:c r="G2" s="8"/>
      <x:c r="H2" s="8"/>
      <x:c r="I2" s="8"/>
      <x:c r="J2" s="8"/>
      <x:c r="K2" s="8"/>
      <x:c r="L2" s="8"/>
      <x:c r="M2" s="8"/>
    </x:row>
    <x:row r="4" ht="32" customHeight="1">
      <x:c r="A4" s="18" t="str">
        <x:v>ID</x:v>
      </x:c>
      <x:c r="B4" s="18" t="str">
        <x:v>직업</x:v>
      </x:c>
      <x:c r="C4" s="18" t="str">
        <x:v>1레벨HP</x:v>
      </x:c>
      <x:c r="D4" s="18" t="str">
        <x:v>레벨당HP</x:v>
      </x:c>
      <x:c r="E4" s="18" t="str">
        <x:v>이속(m/s)</x:v>
      </x:c>
      <x:c r="F4" s="18" t="str">
        <x:v>자원회복/초</x:v>
      </x:c>
      <x:c r="G4" s="18" t="str">
        <x:v>힘</x:v>
      </x:c>
      <x:c r="H4" s="18" t="str">
        <x:v>민첩</x:v>
      </x:c>
      <x:c r="I4" s="18" t="str">
        <x:v>지능</x:v>
      </x:c>
      <x:c r="J4" s="18" t="str">
        <x:v>의지</x:v>
      </x:c>
      <x:c r="K4" s="18" t="str">
        <x:v>주능력</x:v>
      </x:c>
      <x:c r="L4" s="18" t="str">
        <x:v>자원명</x:v>
      </x:c>
      <x:c r="M4" s="18" t="str">
        <x:v>기본공격</x:v>
      </x:c>
    </x:row>
    <x:row r="5" ht="76" customHeight="1">
      <x:c r="A5" s="13" t="str">
        <x:v>WARRIOR</x:v>
      </x:c>
      <x:c r="B5" s="13" t="str">
        <x:v>전사</x:v>
      </x:c>
      <x:c r="C5" s="13" t="n">
        <x:v>300</x:v>
      </x:c>
      <x:c r="D5" s="13" t="n">
        <x:v>35</x:v>
      </x:c>
      <x:c r="E5" s="13" t="n">
        <x:v>4</x:v>
      </x:c>
      <x:c r="F5" s="13" t="n">
        <x:v>8</x:v>
      </x:c>
      <x:c r="G5" s="13" t="n">
        <x:v>30</x:v>
      </x:c>
      <x:c r="H5" s="13" t="n">
        <x:v>10</x:v>
      </x:c>
      <x:c r="I5" s="13" t="n">
        <x:v>10</x:v>
      </x:c>
      <x:c r="J5" s="13" t="n">
        <x:v>10</x:v>
      </x:c>
      <x:c r="K5" s="13" t="str">
        <x:v>힘</x:v>
      </x:c>
      <x:c r="L5" s="13" t="str">
        <x:v>분노</x:v>
      </x:c>
      <x:c r="M5" s="13" t="str">
        <x:v>근접 기본공격: D100%, 1초, 2m, 적중 자원+10</x:v>
      </x:c>
    </x:row>
    <x:row r="6" ht="76" customHeight="1">
      <x:c r="A6" s="13" t="str">
        <x:v>RANGER</x:v>
      </x:c>
      <x:c r="B6" s="13" t="str">
        <x:v>궁수</x:v>
      </x:c>
      <x:c r="C6" s="13" t="n">
        <x:v>240</x:v>
      </x:c>
      <x:c r="D6" s="13" t="n">
        <x:v>28</x:v>
      </x:c>
      <x:c r="E6" s="13" t="n">
        <x:v>4.4</x:v>
      </x:c>
      <x:c r="F6" s="13" t="n">
        <x:v>10</x:v>
      </x:c>
      <x:c r="G6" s="13" t="n">
        <x:v>10</x:v>
      </x:c>
      <x:c r="H6" s="13" t="n">
        <x:v>30</x:v>
      </x:c>
      <x:c r="I6" s="13" t="n">
        <x:v>10</x:v>
      </x:c>
      <x:c r="J6" s="13" t="n">
        <x:v>10</x:v>
      </x:c>
      <x:c r="K6" s="13" t="str">
        <x:v>민첩</x:v>
      </x:c>
      <x:c r="L6" s="13" t="str">
        <x:v>집중</x:v>
      </x:c>
      <x:c r="M6" s="13" t="str">
        <x:v>기본 사격: D90%, 0.9초, 10m, 적중 자원+6</x:v>
      </x:c>
    </x:row>
    <x:row r="7" ht="76" customHeight="1">
      <x:c r="A7" s="13" t="str">
        <x:v>MAGE</x:v>
      </x:c>
      <x:c r="B7" s="13" t="str">
        <x:v>마법사</x:v>
      </x:c>
      <x:c r="C7" s="13" t="n">
        <x:v>210</x:v>
      </x:c>
      <x:c r="D7" s="13" t="n">
        <x:v>25</x:v>
      </x:c>
      <x:c r="E7" s="13" t="n">
        <x:v>4</x:v>
      </x:c>
      <x:c r="F7" s="13" t="n">
        <x:v>12</x:v>
      </x:c>
      <x:c r="G7" s="13" t="n">
        <x:v>10</x:v>
      </x:c>
      <x:c r="H7" s="13" t="n">
        <x:v>10</x:v>
      </x:c>
      <x:c r="I7" s="13" t="n">
        <x:v>30</x:v>
      </x:c>
      <x:c r="J7" s="13" t="n">
        <x:v>10</x:v>
      </x:c>
      <x:c r="K7" s="13" t="str">
        <x:v>지능</x:v>
      </x:c>
      <x:c r="L7" s="13" t="str">
        <x:v>마나</x:v>
      </x:c>
      <x:c r="M7" s="13" t="str">
        <x:v>번개탄: D80%, 0.8초, 10m, 적중 자원+5</x:v>
      </x:c>
    </x:row>
  </x:sheetData>
  <x:mergeCells>
    <x:mergeCell ref="A1:M1"/>
    <x:mergeCell ref="A2:M2"/>
  </x:mergeCells>
  <x:pageMargins left="0.7" right="0.7" top="0.75" bottom="0.75" header="0.3" footer="0.3"/>
  <x:tableParts count="1">
    <x:tablePart xmlns:r="http://schemas.openxmlformats.org/officeDocument/2006/relationships" r:id="Rb1a1801a84ef4ea2"/>
  </x:tableParts>
</x:worksheet>
</file>

<file path=xl/worksheets/sheet5.xml><?xml version="1.0" encoding="utf-8"?>
<x:worksheet xmlns:x="http://schemas.openxmlformats.org/spreadsheetml/2006/main">
  <x:sheetFormatPr defaultRowHeight="15"/>
  <x:cols>
    <x:col min="1" max="1" width="10" hidden="0" customWidth="1"/>
    <x:col min="2" max="2" width="12" hidden="0" customWidth="1"/>
    <x:col min="3" max="3" width="22" hidden="0" customWidth="1"/>
    <x:col min="4" max="4" width="20" hidden="0" customWidth="1"/>
    <x:col min="5" max="5" width="10" hidden="0" customWidth="1"/>
    <x:col min="6" max="6" width="14" hidden="0" customWidth="1"/>
    <x:col min="7" max="7" width="12" hidden="0" customWidth="1"/>
    <x:col min="8" max="8" width="14" hidden="0" customWidth="1"/>
    <x:col min="9" max="9" width="12" hidden="0" customWidth="1"/>
    <x:col min="10" max="10" width="14" hidden="0" customWidth="1"/>
    <x:col min="11" max="11" width="18" hidden="0" customWidth="1"/>
    <x:col min="12" max="12" width="14" hidden="0" customWidth="1"/>
    <x:col min="13" max="13" width="42" hidden="0" customWidth="1"/>
    <x:col min="14" max="14" width="42" hidden="0" customWidth="1"/>
  </x:cols>
  <x:sheetData>
    <x:row r="1" ht="30" customHeight="1">
      <x:c r="A1" s="3" t="str">
        <x:v>HELLSCRIPT 0.1  |  액티브18</x:v>
      </x:c>
      <x:c r="B1" s="3"/>
      <x:c r="C1" s="3"/>
      <x:c r="D1" s="3"/>
      <x:c r="E1" s="3"/>
      <x:c r="F1" s="3"/>
      <x:c r="G1" s="3"/>
      <x:c r="H1" s="3"/>
      <x:c r="I1" s="3"/>
      <x:c r="J1" s="3"/>
      <x:c r="K1" s="3"/>
      <x:c r="L1" s="3"/>
      <x:c r="M1" s="3"/>
      <x:c r="N1" s="3"/>
    </x:row>
    <x:row r="2" ht="38" customHeight="1">
      <x:c r="A2" s="8" t="str">
        <x:v>신규 설계: 테스트 초안. 실제 플레이 검증 전.</x:v>
      </x:c>
      <x:c r="B2" s="8"/>
      <x:c r="C2" s="8"/>
      <x:c r="D2" s="8"/>
      <x:c r="E2" s="8"/>
      <x:c r="F2" s="8"/>
      <x:c r="G2" s="8"/>
      <x:c r="H2" s="8"/>
      <x:c r="I2" s="8"/>
      <x:c r="J2" s="8"/>
      <x:c r="K2" s="8"/>
      <x:c r="L2" s="8"/>
      <x:c r="M2" s="8"/>
      <x:c r="N2" s="8"/>
    </x:row>
    <x:row r="4" ht="32" customHeight="1">
      <x:c r="A4" s="18" t="str">
        <x:v>ID</x:v>
      </x:c>
      <x:c r="B4" s="18" t="str">
        <x:v>직업</x:v>
      </x:c>
      <x:c r="C4" s="18" t="str">
        <x:v>스킬</x:v>
      </x:c>
      <x:c r="D4" s="18" t="str">
        <x:v>분류</x:v>
      </x:c>
      <x:c r="E4" s="18" t="str">
        <x:v>해금Lv</x:v>
      </x:c>
      <x:c r="F4" s="18" t="str">
        <x:v>기본CD(s)</x:v>
      </x:c>
      <x:c r="G4" s="18" t="str">
        <x:v>자원비용</x:v>
      </x:c>
      <x:c r="H4" s="18" t="str">
        <x:v>비용주기(s)</x:v>
      </x:c>
      <x:c r="I4" s="18" t="str">
        <x:v>D계수</x:v>
      </x:c>
      <x:c r="J4" s="18" t="str">
        <x:v>피해주기(s)</x:v>
      </x:c>
      <x:c r="K4" s="18" t="str">
        <x:v>범위(설명참조)</x:v>
      </x:c>
      <x:c r="L4" s="18" t="str">
        <x:v>사거리(m)</x:v>
      </x:c>
      <x:c r="M4" s="18" t="str">
        <x:v>동작·효과</x:v>
      </x:c>
      <x:c r="N4" s="18" t="str">
        <x:v>스크립트 전용 선택지</x:v>
      </x:c>
    </x:row>
    <x:row r="5" ht="76" customHeight="1">
      <x:c r="A5" s="13" t="str">
        <x:v>W01</x:v>
      </x:c>
      <x:c r="B5" s="13" t="str">
        <x:v>전사</x:v>
      </x:c>
      <x:c r="C5" s="13" t="str">
        <x:v>휠윈드</x:v>
      </x:c>
      <x:c r="D5" s="13" t="str">
        <x:v>지속/물리</x:v>
      </x:c>
      <x:c r="E5" s="13" t="n">
        <x:v>1</x:v>
      </x:c>
      <x:c r="F5" s="13" t="n">
        <x:v>0</x:v>
      </x:c>
      <x:c r="G5" s="13" t="n">
        <x:v>6</x:v>
      </x:c>
      <x:c r="H5" s="13" t="n">
        <x:v>0.25</x:v>
      </x:c>
      <x:c r="I5" s="13" t="n">
        <x:v>0.5</x:v>
      </x:c>
      <x:c r="J5" s="13" t="n">
        <x:v>0.25</x:v>
      </x:c>
      <x:c r="K5" s="13" t="n">
        <x:v>2.5</x:v>
      </x:c>
      <x:c r="L5" s="13" t="n">
        <x:v>0</x:v>
      </x:c>
      <x:c r="M5" s="13" t="str">
        <x:v>0.25초마다 D50%; 매 틱 자원6. 자원 부족/상위행동 시 종료</x:v>
      </x:c>
      <x:c r="N5" s="13" t="str">
        <x:v>중심 추적 / 가장자리 선회 / 제자리 / 지정 대상 추적</x:v>
      </x:c>
    </x:row>
    <x:row r="6" ht="76" customHeight="1">
      <x:c r="A6" s="13" t="str">
        <x:v>W02</x:v>
      </x:c>
      <x:c r="B6" s="13" t="str">
        <x:v>전사</x:v>
      </x:c>
      <x:c r="C6" s="13" t="str">
        <x:v>도약 내려찍기</x:v>
      </x:c>
      <x:c r="D6" s="13" t="str">
        <x:v>이동/물리</x:v>
      </x:c>
      <x:c r="E6" s="13" t="n">
        <x:v>3</x:v>
      </x:c>
      <x:c r="F6" s="13" t="n">
        <x:v>8</x:v>
      </x:c>
      <x:c r="G6" s="13" t="n">
        <x:v>0</x:v>
      </x:c>
      <x:c r="H6" s="13" t="n">
        <x:v>0</x:v>
      </x:c>
      <x:c r="I6" s="13" t="n">
        <x:v>1.8</x:v>
      </x:c>
      <x:c r="J6" s="13" t="n">
        <x:v>0</x:v>
      </x:c>
      <x:c r="K6" s="13" t="n">
        <x:v>2.5</x:v>
      </x:c>
      <x:c r="L6" s="13" t="n">
        <x:v>8</x:v>
      </x:c>
      <x:c r="M6" s="13" t="str">
        <x:v>최대8m·최소2m, 준비0.15+이동0.45초; 착지 D180%</x:v>
      </x:c>
      <x:c r="N6" s="13" t="str">
        <x:v>무리 중심 / 무리 가장자리 / 적 밀도 최소 / 목표 거리 복구</x:v>
      </x:c>
    </x:row>
    <x:row r="7" ht="76" customHeight="1">
      <x:c r="A7" s="13" t="str">
        <x:v>W03</x:v>
      </x:c>
      <x:c r="B7" s="13" t="str">
        <x:v>전사</x:v>
      </x:c>
      <x:c r="C7" s="13" t="str">
        <x:v>분쇄 일격</x:v>
      </x:c>
      <x:c r="D7" s="13" t="str">
        <x:v>단발/물리</x:v>
      </x:c>
      <x:c r="E7" s="13" t="n">
        <x:v>6</x:v>
      </x:c>
      <x:c r="F7" s="13" t="n">
        <x:v>0</x:v>
      </x:c>
      <x:c r="G7" s="13" t="n">
        <x:v>25</x:v>
      </x:c>
      <x:c r="H7" s="13" t="n">
        <x:v>0</x:v>
      </x:c>
      <x:c r="I7" s="13" t="n">
        <x:v>2.2</x:v>
      </x:c>
      <x:c r="J7" s="13" t="n">
        <x:v>0</x:v>
      </x:c>
      <x:c r="K7" s="13" t="n">
        <x:v>3</x:v>
      </x:c>
      <x:c r="L7" s="13" t="n">
        <x:v>3</x:v>
      </x:c>
      <x:c r="M7" s="13" t="str">
        <x:v>0.65초 시전, 전방100도 부채꼴 D220%</x:v>
      </x:c>
      <x:c r="N7" s="13" t="str">
        <x:v>현재 대상 / 정예 / 다수 적 포함 방향</x:v>
      </x:c>
    </x:row>
    <x:row r="8" ht="76" customHeight="1">
      <x:c r="A8" s="13" t="str">
        <x:v>W04</x:v>
      </x:c>
      <x:c r="B8" s="13" t="str">
        <x:v>전사</x:v>
      </x:c>
      <x:c r="C8" s="13" t="str">
        <x:v>지면 강타</x:v>
      </x:c>
      <x:c r="D8" s="13" t="str">
        <x:v>제어/물리</x:v>
      </x:c>
      <x:c r="E8" s="13" t="n">
        <x:v>10</x:v>
      </x:c>
      <x:c r="F8" s="13" t="n">
        <x:v>10</x:v>
      </x:c>
      <x:c r="G8" s="13" t="n">
        <x:v>0</x:v>
      </x:c>
      <x:c r="H8" s="13" t="n">
        <x:v>0</x:v>
      </x:c>
      <x:c r="I8" s="13" t="n">
        <x:v>1.2</x:v>
      </x:c>
      <x:c r="J8" s="13" t="n">
        <x:v>0</x:v>
      </x:c>
      <x:c r="K8" s="13" t="n">
        <x:v>3</x:v>
      </x:c>
      <x:c r="L8" s="13" t="n">
        <x:v>0</x:v>
      </x:c>
      <x:c r="M8" s="13" t="str">
        <x:v>준비0.35초, 반경3m D120%, 기절1.5초</x:v>
      </x:c>
      <x:c r="N8" s="13" t="str">
        <x:v>주변 적 수 / 정예 접근 / 위험 시전 중단</x:v>
      </x:c>
    </x:row>
    <x:row r="9" ht="76" customHeight="1">
      <x:c r="A9" s="13" t="str">
        <x:v>W05</x:v>
      </x:c>
      <x:c r="B9" s="13" t="str">
        <x:v>전사</x:v>
      </x:c>
      <x:c r="C9" s="13" t="str">
        <x:v>철벽</x:v>
      </x:c>
      <x:c r="D9" s="13" t="str">
        <x:v>방어</x:v>
      </x:c>
      <x:c r="E9" s="13" t="n">
        <x:v>15</x:v>
      </x:c>
      <x:c r="F9" s="13" t="n">
        <x:v>14</x:v>
      </x:c>
      <x:c r="G9" s="13" t="n">
        <x:v>0</x:v>
      </x:c>
      <x:c r="H9" s="13" t="n">
        <x:v>0</x:v>
      </x:c>
      <x:c r="I9" s="13" t="n">
        <x:v>0</x:v>
      </x:c>
      <x:c r="J9" s="13" t="n">
        <x:v>0</x:v>
      </x:c>
      <x:c r="K9" s="13" t="n">
        <x:v>0</x:v>
      </x:c>
      <x:c r="L9" s="13" t="n">
        <x:v>0</x:v>
      </x:c>
      <x:c r="M9" s="13" t="str">
        <x:v>준비0.2초, 최대HP30% 보호막 4초</x:v>
      </x:c>
      <x:c r="N9" s="13" t="str">
        <x:v>HP 기준 / 위험 예고 / 정예 또는 보스 교전</x:v>
      </x:c>
    </x:row>
    <x:row r="10" ht="76" customHeight="1">
      <x:c r="A10" s="13" t="str">
        <x:v>W06</x:v>
      </x:c>
      <x:c r="B10" s="13" t="str">
        <x:v>전사</x:v>
      </x:c>
      <x:c r="C10" s="13" t="str">
        <x:v>전투 함성</x:v>
      </x:c>
      <x:c r="D10" s="13" t="str">
        <x:v>보조</x:v>
      </x:c>
      <x:c r="E10" s="13" t="n">
        <x:v>20</x:v>
      </x:c>
      <x:c r="F10" s="13" t="n">
        <x:v>16</x:v>
      </x:c>
      <x:c r="G10" s="13" t="n">
        <x:v>0</x:v>
      </x:c>
      <x:c r="H10" s="13" t="n">
        <x:v>0</x:v>
      </x:c>
      <x:c r="I10" s="13" t="n">
        <x:v>0</x:v>
      </x:c>
      <x:c r="J10" s="13" t="n">
        <x:v>0</x:v>
      </x:c>
      <x:c r="K10" s="13" t="n">
        <x:v>0</x:v>
      </x:c>
      <x:c r="L10" s="13" t="n">
        <x:v>0</x:v>
      </x:c>
      <x:c r="M10" s="13" t="str">
        <x:v>준비0.35초, 자원40회복·가산 피해+20% 6초</x:v>
      </x:c>
      <x:c r="N10" s="13" t="str">
        <x:v>자원 이하 / 무리 발견 / 보스 조우</x:v>
      </x:c>
    </x:row>
    <x:row r="11" ht="76" customHeight="1">
      <x:c r="A11" s="13" t="str">
        <x:v>A01</x:v>
      </x:c>
      <x:c r="B11" s="13" t="str">
        <x:v>궁수</x:v>
      </x:c>
      <x:c r="C11" s="13" t="str">
        <x:v>관통 사격</x:v>
      </x:c>
      <x:c r="D11" s="13" t="str">
        <x:v>직선/물리</x:v>
      </x:c>
      <x:c r="E11" s="13" t="n">
        <x:v>1</x:v>
      </x:c>
      <x:c r="F11" s="13" t="n">
        <x:v>0</x:v>
      </x:c>
      <x:c r="G11" s="13" t="n">
        <x:v>20</x:v>
      </x:c>
      <x:c r="H11" s="13" t="n">
        <x:v>0</x:v>
      </x:c>
      <x:c r="I11" s="13" t="n">
        <x:v>1.8</x:v>
      </x:c>
      <x:c r="J11" s="13" t="n">
        <x:v>0</x:v>
      </x:c>
      <x:c r="K11" s="13" t="n">
        <x:v>0.6</x:v>
      </x:c>
      <x:c r="L11" s="13" t="n">
        <x:v>10</x:v>
      </x:c>
      <x:c r="M11" s="13" t="str">
        <x:v>0.65초 시전, 폭0.6m·최대5대상 각 D180%</x:v>
      </x:c>
      <x:c r="N11" s="13" t="str">
        <x:v>일직선 적 최대 / 원거리 우선 / 정예 우선</x:v>
      </x:c>
    </x:row>
    <x:row r="12" ht="76" customHeight="1">
      <x:c r="A12" s="13" t="str">
        <x:v>A02</x:v>
      </x:c>
      <x:c r="B12" s="13" t="str">
        <x:v>궁수</x:v>
      </x:c>
      <x:c r="C12" s="13" t="str">
        <x:v>다중 사격</x:v>
      </x:c>
      <x:c r="D12" s="13" t="str">
        <x:v>부채/물리</x:v>
      </x:c>
      <x:c r="E12" s="13" t="n">
        <x:v>3</x:v>
      </x:c>
      <x:c r="F12" s="13" t="n">
        <x:v>3</x:v>
      </x:c>
      <x:c r="G12" s="13" t="n">
        <x:v>30</x:v>
      </x:c>
      <x:c r="H12" s="13" t="n">
        <x:v>0</x:v>
      </x:c>
      <x:c r="I12" s="13" t="n">
        <x:v>0.8</x:v>
      </x:c>
      <x:c r="J12" s="13" t="n">
        <x:v>0</x:v>
      </x:c>
      <x:c r="K12" s="13" t="n">
        <x:v>60</x:v>
      </x:c>
      <x:c r="L12" s="13" t="n">
        <x:v>8</x:v>
      </x:c>
      <x:c r="M12" s="13" t="str">
        <x:v>0.65초 시전, 3발·각D80%. 기본은 적1명에 최대1발</x:v>
      </x:c>
      <x:c r="N12" s="13" t="str">
        <x:v>다수 적 포함 / 무리 중심 / 현재 대상</x:v>
      </x:c>
    </x:row>
    <x:row r="13" ht="76" customHeight="1">
      <x:c r="A13" s="13" t="str">
        <x:v>A03</x:v>
      </x:c>
      <x:c r="B13" s="13" t="str">
        <x:v>궁수</x:v>
      </x:c>
      <x:c r="C13" s="13" t="str">
        <x:v>맹독 덫</x:v>
      </x:c>
      <x:c r="D13" s="13" t="str">
        <x:v>장판/독</x:v>
      </x:c>
      <x:c r="E13" s="13" t="n">
        <x:v>6</x:v>
      </x:c>
      <x:c r="F13" s="13" t="n">
        <x:v>8</x:v>
      </x:c>
      <x:c r="G13" s="13" t="n">
        <x:v>20</x:v>
      </x:c>
      <x:c r="H13" s="13" t="n">
        <x:v>0</x:v>
      </x:c>
      <x:c r="I13" s="13" t="n">
        <x:v>0.6</x:v>
      </x:c>
      <x:c r="J13" s="13" t="n">
        <x:v>1</x:v>
      </x:c>
      <x:c r="K13" s="13" t="n">
        <x:v>3</x:v>
      </x:c>
      <x:c r="L13" s="13" t="n">
        <x:v>6</x:v>
      </x:c>
      <x:c r="M13" s="13" t="str">
        <x:v>준비0.3초, 설치 후0.5초 무장·최대8초 대기; 발동 시5초간 D60%/초·속박1.5초; 최대2개</x:v>
      </x:c>
      <x:c r="N13" s="13" t="str">
        <x:v>적 무리 중심 / 자신 아래 / 추적 적 예상 경로</x:v>
      </x:c>
    </x:row>
    <x:row r="14" ht="76" customHeight="1">
      <x:c r="A14" s="13" t="str">
        <x:v>A04</x:v>
      </x:c>
      <x:c r="B14" s="13" t="str">
        <x:v>궁수</x:v>
      </x:c>
      <x:c r="C14" s="13" t="str">
        <x:v>후퇴 도약</x:v>
      </x:c>
      <x:c r="D14" s="13" t="str">
        <x:v>이동</x:v>
      </x:c>
      <x:c r="E14" s="13" t="n">
        <x:v>10</x:v>
      </x:c>
      <x:c r="F14" s="13" t="n">
        <x:v>8</x:v>
      </x:c>
      <x:c r="G14" s="13" t="n">
        <x:v>0</x:v>
      </x:c>
      <x:c r="H14" s="13" t="n">
        <x:v>0</x:v>
      </x:c>
      <x:c r="I14" s="13" t="n">
        <x:v>0</x:v>
      </x:c>
      <x:c r="J14" s="13" t="n">
        <x:v>0</x:v>
      </x:c>
      <x:c r="K14" s="13" t="n">
        <x:v>0</x:v>
      </x:c>
      <x:c r="L14" s="13" t="n">
        <x:v>6</x:v>
      </x:c>
      <x:c r="M14" s="13" t="str">
        <x:v>0.5초 이동, 최소2~최대6m. 피해 없음</x:v>
      </x:c>
      <x:c r="N14" s="13" t="str">
        <x:v>대상 반대 / 적 밀도 최소 / 목표 거리 복구</x:v>
      </x:c>
    </x:row>
    <x:row r="15" ht="76" customHeight="1">
      <x:c r="A15" s="13" t="str">
        <x:v>A05</x:v>
      </x:c>
      <x:c r="B15" s="13" t="str">
        <x:v>궁수</x:v>
      </x:c>
      <x:c r="C15" s="13" t="str">
        <x:v>사냥꾼의 표식</x:v>
      </x:c>
      <x:c r="D15" s="13" t="str">
        <x:v>약화</x:v>
      </x:c>
      <x:c r="E15" s="13" t="n">
        <x:v>15</x:v>
      </x:c>
      <x:c r="F15" s="13" t="n">
        <x:v>10</x:v>
      </x:c>
      <x:c r="G15" s="13" t="n">
        <x:v>0</x:v>
      </x:c>
      <x:c r="H15" s="13" t="n">
        <x:v>0</x:v>
      </x:c>
      <x:c r="I15" s="13" t="n">
        <x:v>0</x:v>
      </x:c>
      <x:c r="J15" s="13" t="n">
        <x:v>0</x:v>
      </x:c>
      <x:c r="K15" s="13" t="n">
        <x:v>0</x:v>
      </x:c>
      <x:c r="L15" s="13" t="n">
        <x:v>10</x:v>
      </x:c>
      <x:c r="M15" s="13" t="str">
        <x:v>준비0.2초, 대상에게 자신이 주는 가산 피해+25% 10초; 표식1개</x:v>
      </x:c>
      <x:c r="N15" s="13" t="str">
        <x:v>보스 / 정예 / 남은HP 최대</x:v>
      </x:c>
    </x:row>
    <x:row r="16" ht="76" customHeight="1">
      <x:c r="A16" s="13" t="str">
        <x:v>A06</x:v>
      </x:c>
      <x:c r="B16" s="13" t="str">
        <x:v>궁수</x:v>
      </x:c>
      <x:c r="C16" s="13" t="str">
        <x:v>그림자 화살</x:v>
      </x:c>
      <x:c r="D16" s="13" t="str">
        <x:v>강화</x:v>
      </x:c>
      <x:c r="E16" s="13" t="n">
        <x:v>20</x:v>
      </x:c>
      <x:c r="F16" s="13" t="n">
        <x:v>12</x:v>
      </x:c>
      <x:c r="G16" s="13" t="n">
        <x:v>10</x:v>
      </x:c>
      <x:c r="H16" s="13" t="n">
        <x:v>0</x:v>
      </x:c>
      <x:c r="I16" s="13" t="n">
        <x:v>0</x:v>
      </x:c>
      <x:c r="J16" s="13" t="n">
        <x:v>0</x:v>
      </x:c>
      <x:c r="K16" s="13" t="n">
        <x:v>0</x:v>
      </x:c>
      <x:c r="L16" s="13" t="n">
        <x:v>0</x:v>
      </x:c>
      <x:c r="M16" s="13" t="str">
        <x:v>준비0.2초, 8초 내 다음 직접 사격3회에 원 공격계수25%의 암흑 피해 추가</x:v>
      </x:c>
      <x:c r="N16" s="13" t="str">
        <x:v>표식 대상 / 정예 / 자원 충분</x:v>
      </x:c>
    </x:row>
    <x:row r="17" ht="76" customHeight="1">
      <x:c r="A17" s="13" t="str">
        <x:v>M01</x:v>
      </x:c>
      <x:c r="B17" s="13" t="str">
        <x:v>마법사</x:v>
      </x:c>
      <x:c r="C17" s="13" t="str">
        <x:v>화염구</x:v>
      </x:c>
      <x:c r="D17" s="13" t="str">
        <x:v>폭발/화염</x:v>
      </x:c>
      <x:c r="E17" s="13" t="n">
        <x:v>1</x:v>
      </x:c>
      <x:c r="F17" s="13" t="n">
        <x:v>0</x:v>
      </x:c>
      <x:c r="G17" s="13" t="n">
        <x:v>25</x:v>
      </x:c>
      <x:c r="H17" s="13" t="n">
        <x:v>0</x:v>
      </x:c>
      <x:c r="I17" s="13" t="n">
        <x:v>2.1</x:v>
      </x:c>
      <x:c r="J17" s="13" t="n">
        <x:v>0</x:v>
      </x:c>
      <x:c r="K17" s="13" t="n">
        <x:v>2.5</x:v>
      </x:c>
      <x:c r="L17" s="13" t="n">
        <x:v>10</x:v>
      </x:c>
      <x:c r="M17" s="13" t="str">
        <x:v>0.7초 시전, 착탄 반경2.5m D210%</x:v>
      </x:c>
      <x:c r="N17" s="13" t="str">
        <x:v>무리 중심 / 정예 / 현재 대상</x:v>
      </x:c>
    </x:row>
    <x:row r="18" ht="76" customHeight="1">
      <x:c r="A18" s="13" t="str">
        <x:v>M02</x:v>
      </x:c>
      <x:c r="B18" s="13" t="str">
        <x:v>마법사</x:v>
      </x:c>
      <x:c r="C18" s="13" t="str">
        <x:v>눈보라</x:v>
      </x:c>
      <x:c r="D18" s="13" t="str">
        <x:v>장판/냉기</x:v>
      </x:c>
      <x:c r="E18" s="13" t="n">
        <x:v>3</x:v>
      </x:c>
      <x:c r="F18" s="13" t="n">
        <x:v>6</x:v>
      </x:c>
      <x:c r="G18" s="13" t="n">
        <x:v>30</x:v>
      </x:c>
      <x:c r="H18" s="13" t="n">
        <x:v>0</x:v>
      </x:c>
      <x:c r="I18" s="13" t="n">
        <x:v>0.65</x:v>
      </x:c>
      <x:c r="J18" s="13" t="n">
        <x:v>1</x:v>
      </x:c>
      <x:c r="K18" s="13" t="n">
        <x:v>3</x:v>
      </x:c>
      <x:c r="L18" s="13" t="n">
        <x:v>10</x:v>
      </x:c>
      <x:c r="M18" s="13" t="str">
        <x:v>준비0.4초, 6초간 D65%/초·둔화35%; 최대2개, 동일 시전자의 중첩 지점 피해는 큰 값만</x:v>
      </x:c>
      <x:c r="N18" s="13" t="str">
        <x:v>무리 중심 / 자신 아래 / 추적 적 예상 경로</x:v>
      </x:c>
    </x:row>
    <x:row r="19" ht="76" customHeight="1">
      <x:c r="A19" s="13" t="str">
        <x:v>M03</x:v>
      </x:c>
      <x:c r="B19" s="13" t="str">
        <x:v>마법사</x:v>
      </x:c>
      <x:c r="C19" s="13" t="str">
        <x:v>연쇄 번개</x:v>
      </x:c>
      <x:c r="D19" s="13" t="str">
        <x:v>연쇄/번개</x:v>
      </x:c>
      <x:c r="E19" s="13" t="n">
        <x:v>6</x:v>
      </x:c>
      <x:c r="F19" s="13" t="n">
        <x:v>2</x:v>
      </x:c>
      <x:c r="G19" s="13" t="n">
        <x:v>25</x:v>
      </x:c>
      <x:c r="H19" s="13" t="n">
        <x:v>0</x:v>
      </x:c>
      <x:c r="I19" s="13" t="n">
        <x:v>1.1</x:v>
      </x:c>
      <x:c r="J19" s="13" t="n">
        <x:v>0</x:v>
      </x:c>
      <x:c r="K19" s="13" t="n">
        <x:v>4</x:v>
      </x:c>
      <x:c r="L19" s="13" t="n">
        <x:v>10</x:v>
      </x:c>
      <x:c r="M19" s="13" t="str">
        <x:v>0.45초 시전, 첫 적D110%, 이후×0.8씩 총4대상·동일 적 재타격 불가</x:v>
      </x:c>
      <x:c r="N19" s="13" t="str">
        <x:v>지원형 우선 / 밀집 중심 / 정예 우선</x:v>
      </x:c>
    </x:row>
    <x:row r="20" ht="76" customHeight="1">
      <x:c r="A20" s="13" t="str">
        <x:v>M04</x:v>
      </x:c>
      <x:c r="B20" s="13" t="str">
        <x:v>마법사</x:v>
      </x:c>
      <x:c r="C20" s="13" t="str">
        <x:v>순간이동</x:v>
      </x:c>
      <x:c r="D20" s="13" t="str">
        <x:v>이동</x:v>
      </x:c>
      <x:c r="E20" s="13" t="n">
        <x:v>10</x:v>
      </x:c>
      <x:c r="F20" s="13" t="n">
        <x:v>9</x:v>
      </x:c>
      <x:c r="G20" s="13" t="n">
        <x:v>0</x:v>
      </x:c>
      <x:c r="H20" s="13" t="n">
        <x:v>0</x:v>
      </x:c>
      <x:c r="I20" s="13" t="n">
        <x:v>0</x:v>
      </x:c>
      <x:c r="J20" s="13" t="n">
        <x:v>0</x:v>
      </x:c>
      <x:c r="K20" s="13" t="n">
        <x:v>0</x:v>
      </x:c>
      <x:c r="L20" s="13" t="n">
        <x:v>8</x:v>
      </x:c>
      <x:c r="M20" s="13" t="str">
        <x:v>0.2초 준비, 최소2~최대8m 유효 지점으로 이동</x:v>
      </x:c>
      <x:c r="N20" s="13" t="str">
        <x:v>적 밀도 최소 / 목표 거리 복구 / 위험 지역 밖</x:v>
      </x:c>
    </x:row>
    <x:row r="21" ht="76" customHeight="1">
      <x:c r="A21" s="13" t="str">
        <x:v>M05</x:v>
      </x:c>
      <x:c r="B21" s="13" t="str">
        <x:v>마법사</x:v>
      </x:c>
      <x:c r="C21" s="13" t="str">
        <x:v>원소 보호막</x:v>
      </x:c>
      <x:c r="D21" s="13" t="str">
        <x:v>방어</x:v>
      </x:c>
      <x:c r="E21" s="13" t="n">
        <x:v>15</x:v>
      </x:c>
      <x:c r="F21" s="13" t="n">
        <x:v>14</x:v>
      </x:c>
      <x:c r="G21" s="13" t="n">
        <x:v>0</x:v>
      </x:c>
      <x:c r="H21" s="13" t="n">
        <x:v>0</x:v>
      </x:c>
      <x:c r="I21" s="13" t="n">
        <x:v>0</x:v>
      </x:c>
      <x:c r="J21" s="13" t="n">
        <x:v>0</x:v>
      </x:c>
      <x:c r="K21" s="13" t="n">
        <x:v>0</x:v>
      </x:c>
      <x:c r="L21" s="13" t="n">
        <x:v>0</x:v>
      </x:c>
      <x:c r="M21" s="13" t="str">
        <x:v>준비0.2초, 최대HP35% 보호막4초</x:v>
      </x:c>
      <x:c r="N21" s="13" t="str">
        <x:v>HP 이하 / 위험 예고 / 보호막 소멸</x:v>
      </x:c>
    </x:row>
    <x:row r="22" ht="76" customHeight="1">
      <x:c r="A22" s="13" t="str">
        <x:v>M06</x:v>
      </x:c>
      <x:c r="B22" s="13" t="str">
        <x:v>마법사</x:v>
      </x:c>
      <x:c r="C22" s="13" t="str">
        <x:v>서리 폭발</x:v>
      </x:c>
      <x:c r="D22" s="13" t="str">
        <x:v>제어/냉기</x:v>
      </x:c>
      <x:c r="E22" s="13" t="n">
        <x:v>20</x:v>
      </x:c>
      <x:c r="F22" s="13" t="n">
        <x:v>10</x:v>
      </x:c>
      <x:c r="G22" s="13" t="n">
        <x:v>20</x:v>
      </x:c>
      <x:c r="H22" s="13" t="n">
        <x:v>0</x:v>
      </x:c>
      <x:c r="I22" s="13" t="n">
        <x:v>1</x:v>
      </x:c>
      <x:c r="J22" s="13" t="n">
        <x:v>0</x:v>
      </x:c>
      <x:c r="K22" s="13" t="n">
        <x:v>3</x:v>
      </x:c>
      <x:c r="L22" s="13" t="n">
        <x:v>0</x:v>
      </x:c>
      <x:c r="M22" s="13" t="str">
        <x:v>준비0.35초, 반경3m D100%·빙결1.5초</x:v>
      </x:c>
      <x:c r="N22" s="13" t="str">
        <x:v>근접 적 수 / 위험 시전 / 후퇴 직전</x:v>
      </x:c>
    </x:row>
  </x:sheetData>
  <x:mergeCells>
    <x:mergeCell ref="A1:N1"/>
    <x:mergeCell ref="A2:N2"/>
  </x:mergeCells>
  <x:pageMargins left="0.7" right="0.7" top="0.75" bottom="0.75" header="0.3" footer="0.3"/>
  <x:tableParts count="1">
    <x:tablePart xmlns:r="http://schemas.openxmlformats.org/officeDocument/2006/relationships" r:id="R6fc118fdf52d4a2a"/>
  </x:tableParts>
</x:worksheet>
</file>

<file path=xl/worksheets/sheet6.xml><?xml version="1.0" encoding="utf-8"?>
<x:worksheet xmlns:x="http://schemas.openxmlformats.org/spreadsheetml/2006/main">
  <x:sheetFormatPr defaultRowHeight="15"/>
  <x:cols>
    <x:col min="1" max="1" width="12" hidden="0" customWidth="1"/>
    <x:col min="2" max="2" width="14" hidden="0" customWidth="1"/>
    <x:col min="3" max="3" width="24" hidden="0" customWidth="1"/>
    <x:col min="4" max="4" width="42" hidden="0" customWidth="1"/>
  </x:cols>
  <x:sheetData>
    <x:row r="1" ht="30" customHeight="1">
      <x:c r="A1" s="3" t="str">
        <x:v>HELLSCRIPT 0.1  |  패시브18</x:v>
      </x:c>
      <x:c r="B1" s="3"/>
      <x:c r="C1" s="3"/>
      <x:c r="D1" s="3"/>
    </x:row>
    <x:row r="2" ht="38" customHeight="1">
      <x:c r="A2" s="8" t="str">
        <x:v>신규 설계: 테스트 초안. 실제 플레이 검증 전.</x:v>
      </x:c>
      <x:c r="B2" s="8"/>
      <x:c r="C2" s="8"/>
      <x:c r="D2" s="8"/>
    </x:row>
    <x:row r="4" ht="32" customHeight="1">
      <x:c r="A4" s="18" t="str">
        <x:v>ID</x:v>
      </x:c>
      <x:c r="B4" s="18" t="str">
        <x:v>직업</x:v>
      </x:c>
      <x:c r="C4" s="18" t="str">
        <x:v>패시브</x:v>
      </x:c>
      <x:c r="D4" s="18" t="str">
        <x:v>효과</x:v>
      </x:c>
    </x:row>
    <x:row r="5" ht="76" customHeight="1">
      <x:c r="A5" s="13" t="str">
        <x:v>WP01</x:v>
      </x:c>
      <x:c r="B5" s="13" t="str">
        <x:v>전사</x:v>
      </x:c>
      <x:c r="C5" s="13" t="str">
        <x:v>군중 속으로</x:v>
      </x:c>
      <x:c r="D5" s="13" t="str">
        <x:v>3m 내 적3 이상이면 가산 피해+15%</x:v>
      </x:c>
    </x:row>
    <x:row r="6" ht="76" customHeight="1">
      <x:c r="A6" s="13" t="str">
        <x:v>WP02</x:v>
      </x:c>
      <x:c r="B6" s="13" t="str">
        <x:v>전사</x:v>
      </x:c>
      <x:c r="C6" s="13" t="str">
        <x:v>끝나지 않는 회전</x:v>
      </x:c>
      <x:c r="D6" s="13" t="str">
        <x:v>휠윈드 2초 유지 후 해당 채널 자원소모-20%; 중단 시 해제</x:v>
      </x:c>
    </x:row>
    <x:row r="7" ht="76" customHeight="1">
      <x:c r="A7" s="13" t="str">
        <x:v>WP03</x:v>
      </x:c>
      <x:c r="B7" s="13" t="str">
        <x:v>전사</x:v>
      </x:c>
      <x:c r="C7" s="13" t="str">
        <x:v>착지 자세</x:v>
      </x:c>
      <x:c r="D7" s="13" t="str">
        <x:v>도약 착지 후2초간 받는 피해-15%</x:v>
      </x:c>
    </x:row>
    <x:row r="8" ht="76" customHeight="1">
      <x:c r="A8" s="13" t="str">
        <x:v>WP04</x:v>
      </x:c>
      <x:c r="B8" s="13" t="str">
        <x:v>전사</x:v>
      </x:c>
      <x:c r="C8" s="13" t="str">
        <x:v>피의 회복</x:v>
      </x:c>
      <x:c r="D8" s="13" t="str">
        <x:v>적 처치 시 최대HP2%회복; 내부CD1초</x:v>
      </x:c>
    </x:row>
    <x:row r="9" ht="76" customHeight="1">
      <x:c r="A9" s="13" t="str">
        <x:v>WP05</x:v>
      </x:c>
      <x:c r="B9" s="13" t="str">
        <x:v>전사</x:v>
      </x:c>
      <x:c r="C9" s="13" t="str">
        <x:v>단단한 의지</x:v>
      </x:c>
      <x:c r="D9" s="13" t="str">
        <x:v>보호막 생성량+20%</x:v>
      </x:c>
    </x:row>
    <x:row r="10" ht="76" customHeight="1">
      <x:c r="A10" s="13" t="str">
        <x:v>WP06</x:v>
      </x:c>
      <x:c r="B10" s="13" t="str">
        <x:v>전사</x:v>
      </x:c>
      <x:c r="C10" s="13" t="str">
        <x:v>처형자의 눈</x:v>
      </x:c>
      <x:c r="D10" s="13" t="str">
        <x:v>HP30% 이하 적에게 가산 피해+20%</x:v>
      </x:c>
    </x:row>
    <x:row r="11" ht="76" customHeight="1">
      <x:c r="A11" s="13" t="str">
        <x:v>AP01</x:v>
      </x:c>
      <x:c r="B11" s="13" t="str">
        <x:v>궁수</x:v>
      </x:c>
      <x:c r="C11" s="13" t="str">
        <x:v>긴 사거리</x:v>
      </x:c>
      <x:c r="D11" s="13" t="str">
        <x:v>대상과 거리7m 이상일 때 가산 피해+15%</x:v>
      </x:c>
    </x:row>
    <x:row r="12" ht="76" customHeight="1">
      <x:c r="A12" s="13" t="str">
        <x:v>AP02</x:v>
      </x:c>
      <x:c r="B12" s="13" t="str">
        <x:v>궁수</x:v>
      </x:c>
      <x:c r="C12" s="13" t="str">
        <x:v>탈출의 발걸음</x:v>
      </x:c>
      <x:c r="D12" s="13" t="str">
        <x:v>후퇴 도약 후2초 이동속도+20%</x:v>
      </x:c>
    </x:row>
    <x:row r="13" ht="76" customHeight="1">
      <x:c r="A13" s="13" t="str">
        <x:v>AP03</x:v>
      </x:c>
      <x:c r="B13" s="13" t="str">
        <x:v>궁수</x:v>
      </x:c>
      <x:c r="C13" s="13" t="str">
        <x:v>꿰뚫는 시선</x:v>
      </x:c>
      <x:c r="D13" s="13" t="str">
        <x:v>관통 사격 최대대상+2</x:v>
      </x:c>
    </x:row>
    <x:row r="14" ht="76" customHeight="1">
      <x:c r="A14" s="13" t="str">
        <x:v>AP04</x:v>
      </x:c>
      <x:c r="B14" s="13" t="str">
        <x:v>궁수</x:v>
      </x:c>
      <x:c r="C14" s="13" t="str">
        <x:v>덫 사냥꾼</x:v>
      </x:c>
      <x:c r="D14" s="13" t="str">
        <x:v>덫의 속박 지속시간+25%</x:v>
      </x:c>
    </x:row>
    <x:row r="15" ht="76" customHeight="1">
      <x:c r="A15" s="13" t="str">
        <x:v>AP05</x:v>
      </x:c>
      <x:c r="B15" s="13" t="str">
        <x:v>궁수</x:v>
      </x:c>
      <x:c r="C15" s="13" t="str">
        <x:v>절약된 집중</x:v>
      </x:c>
      <x:c r="D15" s="13" t="str">
        <x:v>1초 이상 이동 후 첫 자원 소모 스킬의 비용-25%; 내부CD4초</x:v>
      </x:c>
    </x:row>
    <x:row r="16" ht="76" customHeight="1">
      <x:c r="A16" s="13" t="str">
        <x:v>AP06</x:v>
      </x:c>
      <x:c r="B16" s="13" t="str">
        <x:v>궁수</x:v>
      </x:c>
      <x:c r="C16" s="13" t="str">
        <x:v>마무리 사격</x:v>
      </x:c>
      <x:c r="D16" s="13" t="str">
        <x:v>HP30% 이하 적에게 치명 확률+10%p</x:v>
      </x:c>
    </x:row>
    <x:row r="17" ht="76" customHeight="1">
      <x:c r="A17" s="13" t="str">
        <x:v>MP01</x:v>
      </x:c>
      <x:c r="B17" s="13" t="str">
        <x:v>마법사</x:v>
      </x:c>
      <x:c r="C17" s="13" t="str">
        <x:v>밀집 연소</x:v>
      </x:c>
      <x:c r="D17" s="13" t="str">
        <x:v>화염구 범위 내 적3 이상이면 해당 공격 가산 피해+15%</x:v>
      </x:c>
    </x:row>
    <x:row r="18" ht="76" customHeight="1">
      <x:c r="A18" s="13" t="str">
        <x:v>MP02</x:v>
      </x:c>
      <x:c r="B18" s="13" t="str">
        <x:v>마법사</x:v>
      </x:c>
      <x:c r="C18" s="13" t="str">
        <x:v>깊은 한기</x:v>
      </x:c>
      <x:c r="D18" s="13" t="str">
        <x:v>둔화 강도+20%p; 최종 둔화 상한80%</x:v>
      </x:c>
    </x:row>
    <x:row r="19" ht="76" customHeight="1">
      <x:c r="A19" s="13" t="str">
        <x:v>MP03</x:v>
      </x:c>
      <x:c r="B19" s="13" t="str">
        <x:v>마법사</x:v>
      </x:c>
      <x:c r="C19" s="13" t="str">
        <x:v>번개의 사슬</x:v>
      </x:c>
      <x:c r="D19" s="13" t="str">
        <x:v>연쇄 번개 최대대상+1</x:v>
      </x:c>
    </x:row>
    <x:row r="20" ht="76" customHeight="1">
      <x:c r="A20" s="13" t="str">
        <x:v>MP04</x:v>
      </x:c>
      <x:c r="B20" s="13" t="str">
        <x:v>마법사</x:v>
      </x:c>
      <x:c r="C20" s="13" t="str">
        <x:v>안정된 결계</x:v>
      </x:c>
      <x:c r="D20" s="13" t="str">
        <x:v>보호막 생성량+20%</x:v>
      </x:c>
    </x:row>
    <x:row r="21" ht="76" customHeight="1">
      <x:c r="A21" s="13" t="str">
        <x:v>MP05</x:v>
      </x:c>
      <x:c r="B21" s="13" t="str">
        <x:v>마법사</x:v>
      </x:c>
      <x:c r="C21" s="13" t="str">
        <x:v>마나 순환</x:v>
      </x:c>
      <x:c r="D21" s="13" t="str">
        <x:v>초당 자원 회복+20%</x:v>
      </x:c>
    </x:row>
    <x:row r="22" ht="76" customHeight="1">
      <x:c r="A22" s="13" t="str">
        <x:v>MP06</x:v>
      </x:c>
      <x:c r="B22" s="13" t="str">
        <x:v>마법사</x:v>
      </x:c>
      <x:c r="C22" s="13" t="str">
        <x:v>원소 교차</x:v>
      </x:c>
      <x:c r="D22" s="13" t="str">
        <x:v>4초 안에 서로 다른 피해속성2종 적중 시 가산 피해+10% 4초; 중첩 없음</x:v>
      </x:c>
    </x:row>
  </x:sheetData>
  <x:mergeCells>
    <x:mergeCell ref="A1:D1"/>
    <x:mergeCell ref="A2:D2"/>
  </x:mergeCells>
  <x:pageMargins left="0.7" right="0.7" top="0.75" bottom="0.75" header="0.3" footer="0.3"/>
  <x:tableParts count="1">
    <x:tablePart xmlns:r="http://schemas.openxmlformats.org/officeDocument/2006/relationships" r:id="Rf8f88e1a64c544f6"/>
  </x:tableParts>
</x:worksheet>
</file>

<file path=xl/worksheets/sheet7.xml><?xml version="1.0" encoding="utf-8"?>
<x:worksheet xmlns:x="http://schemas.openxmlformats.org/spreadsheetml/2006/main">
  <x:sheetFormatPr defaultRowHeight="15"/>
  <x:cols>
    <x:col min="1" max="1" width="12" hidden="0" customWidth="1"/>
    <x:col min="2" max="2" width="14" hidden="0" customWidth="1"/>
    <x:col min="3" max="3" width="24" hidden="0" customWidth="1"/>
    <x:col min="4" max="4" width="30" hidden="0" customWidth="1"/>
    <x:col min="5" max="5" width="42" hidden="0" customWidth="1"/>
    <x:col min="6" max="6" width="35" hidden="0" customWidth="1"/>
  </x:cols>
  <x:sheetData>
    <x:row r="1" ht="30" customHeight="1">
      <x:c r="A1" s="3" t="str">
        <x:v>HELLSCRIPT 0.1  |  조건선택지</x:v>
      </x:c>
      <x:c r="B1" s="3"/>
      <x:c r="C1" s="3"/>
      <x:c r="D1" s="3"/>
      <x:c r="E1" s="3"/>
      <x:c r="F1" s="3"/>
    </x:row>
    <x:row r="2" ht="38" customHeight="1">
      <x:c r="A2" s="8" t="str">
        <x:v>신규 설계: 테스트 초안. 실제 플레이 검증 전.</x:v>
      </x:c>
      <x:c r="B2" s="8"/>
      <x:c r="C2" s="8"/>
      <x:c r="D2" s="8"/>
      <x:c r="E2" s="8"/>
      <x:c r="F2" s="8"/>
    </x:row>
    <x:row r="4" ht="32" customHeight="1">
      <x:c r="A4" s="18" t="str">
        <x:v>ID</x:v>
      </x:c>
      <x:c r="B4" s="18" t="str">
        <x:v>영역</x:v>
      </x:c>
      <x:c r="C4" s="18" t="str">
        <x:v>조건</x:v>
      </x:c>
      <x:c r="D4" s="18" t="str">
        <x:v>비교</x:v>
      </x:c>
      <x:c r="E4" s="18" t="str">
        <x:v>허용 입력</x:v>
      </x:c>
      <x:c r="F4" s="18" t="str">
        <x:v>예시</x:v>
      </x:c>
    </x:row>
    <x:row r="5" ht="76" customHeight="1">
      <x:c r="A5" s="13" t="str">
        <x:v>SC01</x:v>
      </x:c>
      <x:c r="B5" s="13" t="str">
        <x:v>자신</x:v>
      </x:c>
      <x:c r="C5" s="13" t="str">
        <x:v>현재 HP</x:v>
      </x:c>
      <x:c r="D5" s="13" t="str">
        <x:v>≤ / ≥</x:v>
      </x:c>
      <x:c r="E5" s="13" t="str">
        <x:v>5~95%, 5% 단위</x:v>
      </x:c>
      <x:c r="F5" s="13" t="str">
        <x:v>HP30% 이하</x:v>
      </x:c>
    </x:row>
    <x:row r="6" ht="76" customHeight="1">
      <x:c r="A6" s="13" t="str">
        <x:v>SC02</x:v>
      </x:c>
      <x:c r="B6" s="13" t="str">
        <x:v>자신</x:v>
      </x:c>
      <x:c r="C6" s="13" t="str">
        <x:v>현재 자원</x:v>
      </x:c>
      <x:c r="D6" s="13" t="str">
        <x:v>≤ / ≥</x:v>
      </x:c>
      <x:c r="E6" s="13" t="str">
        <x:v>0~100%, 5% 단위</x:v>
      </x:c>
      <x:c r="F6" s="13" t="str">
        <x:v>자원40% 이하</x:v>
      </x:c>
    </x:row>
    <x:row r="7" ht="76" customHeight="1">
      <x:c r="A7" s="13" t="str">
        <x:v>SC03</x:v>
      </x:c>
      <x:c r="B7" s="13" t="str">
        <x:v>자신</x:v>
      </x:c>
      <x:c r="C7" s="13" t="str">
        <x:v>보호막 비율</x:v>
      </x:c>
      <x:c r="D7" s="13" t="str">
        <x:v>≤ / ≥</x:v>
      </x:c>
      <x:c r="E7" s="13" t="str">
        <x:v>0~100%, 5% 단위</x:v>
      </x:c>
      <x:c r="F7" s="13" t="str">
        <x:v>보호막0%</x:v>
      </x:c>
    </x:row>
    <x:row r="8" ht="76" customHeight="1">
      <x:c r="A8" s="13" t="str">
        <x:v>SC04</x:v>
      </x:c>
      <x:c r="B8" s="13" t="str">
        <x:v>자신</x:v>
      </x:c>
      <x:c r="C8" s="13" t="str">
        <x:v>지정 버프</x:v>
      </x:c>
      <x:c r="D8" s="13" t="str">
        <x:v>있음 / 없음 / 남은시간 이하</x:v>
      </x:c>
      <x:c r="E8" s="13" t="str">
        <x:v>보유 효과 목록, 0~10초</x:v>
      </x:c>
      <x:c r="F8" s="13" t="str">
        <x:v>철벽 없음</x:v>
      </x:c>
    </x:row>
    <x:row r="9" ht="76" customHeight="1">
      <x:c r="A9" s="13" t="str">
        <x:v>SC05</x:v>
      </x:c>
      <x:c r="B9" s="13" t="str">
        <x:v>자신</x:v>
      </x:c>
      <x:c r="C9" s="13" t="str">
        <x:v>최근 받은 피해</x:v>
      </x:c>
      <x:c r="D9" s="13" t="str">
        <x:v>최대HP 대비 ≥</x:v>
      </x:c>
      <x:c r="E9" s="13" t="str">
        <x:v>최근1/2/3초, 5~80%</x:v>
      </x:c>
      <x:c r="F9" s="13" t="str">
        <x:v>2초간30% 이상</x:v>
      </x:c>
    </x:row>
    <x:row r="10" ht="76" customHeight="1">
      <x:c r="A10" s="13" t="str">
        <x:v>SC06</x:v>
      </x:c>
      <x:c r="B10" s="13" t="str">
        <x:v>주변</x:v>
      </x:c>
      <x:c r="C10" s="13" t="str">
        <x:v>적 수</x:v>
      </x:c>
      <x:c r="D10" s="13" t="str">
        <x:v>≥ / ≤</x:v>
      </x:c>
      <x:c r="E10" s="13" t="str">
        <x:v>반경2/3/5/8m, 1~20명</x:v>
      </x:c>
      <x:c r="F10" s="13" t="str">
        <x:v>3m 내 적3명 이상</x:v>
      </x:c>
    </x:row>
    <x:row r="11" ht="76" customHeight="1">
      <x:c r="A11" s="13" t="str">
        <x:v>SC07</x:v>
      </x:c>
      <x:c r="B11" s="13" t="str">
        <x:v>주변</x:v>
      </x:c>
      <x:c r="C11" s="13" t="str">
        <x:v>정예·보스 존재</x:v>
      </x:c>
      <x:c r="D11" s="13" t="str">
        <x:v>있음 / 없음</x:v>
      </x:c>
      <x:c r="E11" s="13" t="str">
        <x:v>인지한 적만</x:v>
      </x:c>
      <x:c r="F11" s="13" t="str">
        <x:v>보스 존재</x:v>
      </x:c>
    </x:row>
    <x:row r="12" ht="76" customHeight="1">
      <x:c r="A12" s="13" t="str">
        <x:v>SC08</x:v>
      </x:c>
      <x:c r="B12" s="13" t="str">
        <x:v>주변</x:v>
      </x:c>
      <x:c r="C12" s="13" t="str">
        <x:v>위험 지역</x:v>
      </x:c>
      <x:c r="D12" s="13" t="str">
        <x:v>안 / 밖 / 폭발 임박</x:v>
      </x:c>
      <x:c r="E12" s="13" t="str">
        <x:v>현재 위치, 0.5/1/1.5초 이내</x:v>
      </x:c>
      <x:c r="F12" s="13" t="str">
        <x:v>1초 이내 위험</x:v>
      </x:c>
    </x:row>
    <x:row r="13" ht="76" customHeight="1">
      <x:c r="A13" s="13" t="str">
        <x:v>SC09</x:v>
      </x:c>
      <x:c r="B13" s="13" t="str">
        <x:v>대상</x:v>
      </x:c>
      <x:c r="C13" s="13" t="str">
        <x:v>거리</x:v>
      </x:c>
      <x:c r="D13" s="13" t="str">
        <x:v>≤ / ≥ / 범위</x:v>
      </x:c>
      <x:c r="E13" s="13" t="str">
        <x:v>0~12m, 0.5m 단위</x:v>
      </x:c>
      <x:c r="F13" s="13" t="str">
        <x:v>목표와 거리4m 이하</x:v>
      </x:c>
    </x:row>
    <x:row r="14" ht="76" customHeight="1">
      <x:c r="A14" s="13" t="str">
        <x:v>SC10</x:v>
      </x:c>
      <x:c r="B14" s="13" t="str">
        <x:v>대상</x:v>
      </x:c>
      <x:c r="C14" s="13" t="str">
        <x:v>HP</x:v>
      </x:c>
      <x:c r="D14" s="13" t="str">
        <x:v>≤ / ≥</x:v>
      </x:c>
      <x:c r="E14" s="13" t="str">
        <x:v>5~95%, 5% 단위</x:v>
      </x:c>
      <x:c r="F14" s="13" t="str">
        <x:v>대상HP30% 이하</x:v>
      </x:c>
    </x:row>
    <x:row r="15" ht="76" customHeight="1">
      <x:c r="A15" s="13" t="str">
        <x:v>SC11</x:v>
      </x:c>
      <x:c r="B15" s="13" t="str">
        <x:v>대상</x:v>
      </x:c>
      <x:c r="C15" s="13" t="str">
        <x:v>유형</x:v>
      </x:c>
      <x:c r="D15" s="13" t="str">
        <x:v>목록 선택</x:v>
      </x:c>
      <x:c r="E15" s="13" t="str">
        <x:v>근접/돌진/원거리/장판/지원/폭발</x:v>
      </x:c>
      <x:c r="F15" s="13" t="str">
        <x:v>지원형</x:v>
      </x:c>
    </x:row>
    <x:row r="16" ht="76" customHeight="1">
      <x:c r="A16" s="13" t="str">
        <x:v>SC12</x:v>
      </x:c>
      <x:c r="B16" s="13" t="str">
        <x:v>대상</x:v>
      </x:c>
      <x:c r="C16" s="13" t="str">
        <x:v>등급</x:v>
      </x:c>
      <x:c r="D16" s="13" t="str">
        <x:v>목록 선택</x:v>
      </x:c>
      <x:c r="E16" s="13" t="str">
        <x:v>일반/정예/보스</x:v>
      </x:c>
      <x:c r="F16" s="13" t="str">
        <x:v>정예 이상</x:v>
      </x:c>
    </x:row>
    <x:row r="17" ht="76" customHeight="1">
      <x:c r="A17" s="13" t="str">
        <x:v>SC13</x:v>
      </x:c>
      <x:c r="B17" s="13" t="str">
        <x:v>대상</x:v>
      </x:c>
      <x:c r="C17" s="13" t="str">
        <x:v>상태이상</x:v>
      </x:c>
      <x:c r="D17" s="13" t="str">
        <x:v>있음 / 없음</x:v>
      </x:c>
      <x:c r="E17" s="13" t="str">
        <x:v>중독/둔화/기절/빙결/표식/세트노출</x:v>
      </x:c>
      <x:c r="F17" s="13" t="str">
        <x:v>중독 대상</x:v>
      </x:c>
    </x:row>
    <x:row r="18" ht="76" customHeight="1">
      <x:c r="A18" s="13" t="str">
        <x:v>SC14</x:v>
      </x:c>
      <x:c r="B18" s="13" t="str">
        <x:v>대상</x:v>
      </x:c>
      <x:c r="C18" s="13" t="str">
        <x:v>위험 시전</x:v>
      </x:c>
      <x:c r="D18" s="13" t="str">
        <x:v>시전 중 / 완료 임박</x:v>
      </x:c>
      <x:c r="E18" s="13" t="str">
        <x:v>인지 가능한 예고, 0.5/1/1.5초</x:v>
      </x:c>
      <x:c r="F18" s="13" t="str">
        <x:v>1초 내 공격</x:v>
      </x:c>
    </x:row>
    <x:row r="19" ht="76" customHeight="1">
      <x:c r="A19" s="13" t="str">
        <x:v>SC15</x:v>
      </x:c>
      <x:c r="B19" s="13" t="str">
        <x:v>스킬</x:v>
      </x:c>
      <x:c r="C19" s="13" t="str">
        <x:v>쿨타임</x:v>
      </x:c>
      <x:c r="D19" s="13" t="str">
        <x:v>사용 가능 / 남은시간 이하</x:v>
      </x:c>
      <x:c r="E19" s="13" t="str">
        <x:v>장착스킬, 0~20초</x:v>
      </x:c>
      <x:c r="F19" s="13" t="str">
        <x:v>도약 사용 가능</x:v>
      </x:c>
    </x:row>
    <x:row r="20" ht="76" customHeight="1">
      <x:c r="A20" s="13" t="str">
        <x:v>SC16</x:v>
      </x:c>
      <x:c r="B20" s="13" t="str">
        <x:v>스킬</x:v>
      </x:c>
      <x:c r="C20" s="13" t="str">
        <x:v>연속 유지 시간</x:v>
      </x:c>
      <x:c r="D20" s="13" t="str">
        <x:v>≥</x:v>
      </x:c>
      <x:c r="E20" s="13" t="str">
        <x:v>0.5~10초</x:v>
      </x:c>
      <x:c r="F20" s="13" t="str">
        <x:v>휠윈드2초 이상</x:v>
      </x:c>
    </x:row>
    <x:row r="21" ht="76" customHeight="1">
      <x:c r="A21" s="13" t="str">
        <x:v>SC17</x:v>
      </x:c>
      <x:c r="B21" s="13" t="str">
        <x:v>탐색</x:v>
      </x:c>
      <x:c r="C21" s="13" t="str">
        <x:v>인지한 적 없음</x:v>
      </x:c>
      <x:c r="D21" s="13" t="str">
        <x:v>지속시간 ≥</x:v>
      </x:c>
      <x:c r="E21" s="13" t="str">
        <x:v>0~5초</x:v>
      </x:c>
      <x:c r="F21" s="13" t="str">
        <x:v>적 없음1초</x:v>
      </x:c>
    </x:row>
    <x:row r="22" ht="76" customHeight="1">
      <x:c r="A22" s="13" t="str">
        <x:v>SC18</x:v>
      </x:c>
      <x:c r="B22" s="13" t="str">
        <x:v>보상</x:v>
      </x:c>
      <x:c r="C22" s="13" t="str">
        <x:v>회수 대상 존재</x:v>
      </x:c>
      <x:c r="D22" s="13" t="str">
        <x:v>있음 / 없음</x:v>
      </x:c>
      <x:c r="E22" s="13" t="str">
        <x:v>획득 필터·인지 범위 적용</x:v>
      </x:c>
      <x:c r="F22" s="13" t="str">
        <x:v>세트 장비 발견</x:v>
      </x:c>
    </x:row>
    <x:row r="23" ht="76" customHeight="1">
      <x:c r="A23" s="13" t="str">
        <x:v>SC19</x:v>
      </x:c>
      <x:c r="B23" s="13" t="str">
        <x:v>가방</x:v>
      </x:c>
      <x:c r="C23" s="13" t="str">
        <x:v>빈칸 수</x:v>
      </x:c>
      <x:c r="D23" s="13" t="str">
        <x:v>≤</x:v>
      </x:c>
      <x:c r="E23" s="13" t="str">
        <x:v>0~30칸</x:v>
      </x:c>
      <x:c r="F23" s="13" t="str">
        <x:v>빈칸0</x:v>
      </x:c>
    </x:row>
    <x:row r="24" ht="76" customHeight="1">
      <x:c r="A24" s="13" t="str">
        <x:v>SC20</x:v>
      </x:c>
      <x:c r="B24" s="13" t="str">
        <x:v>진행</x:v>
      </x:c>
      <x:c r="C24" s="13" t="str">
        <x:v>보스 상태</x:v>
      </x:c>
      <x:c r="D24" s="13" t="str">
        <x:v>미등장/교전/처치</x:v>
      </x:c>
      <x:c r="E24" s="13" t="str">
        <x:v>현재 스테이지</x:v>
      </x:c>
      <x:c r="F24" s="13" t="str">
        <x:v>보스 처치</x:v>
      </x:c>
    </x:row>
    <x:row r="25" ht="76" customHeight="1">
      <x:c r="A25" s="13" t="str">
        <x:v>SC21</x:v>
      </x:c>
      <x:c r="B25" s="13" t="str">
        <x:v>진행</x:v>
      </x:c>
      <x:c r="C25" s="13" t="str">
        <x:v>단계 잔여 시간</x:v>
      </x:c>
      <x:c r="D25" s="13" t="str">
        <x:v>≤</x:v>
      </x:c>
      <x:c r="E25" s="13" t="str">
        <x:v>5~300초</x:v>
      </x:c>
      <x:c r="F25" s="13" t="str">
        <x:v>30초 이하</x:v>
      </x:c>
    </x:row>
    <x:row r="26" ht="76" customHeight="1">
      <x:c r="A26" s="13" t="str">
        <x:v>SC22</x:v>
      </x:c>
      <x:c r="B26" s="13" t="str">
        <x:v>전투</x:v>
      </x:c>
      <x:c r="C26" s="13" t="str">
        <x:v>지정 스킬 최근 실행</x:v>
      </x:c>
      <x:c r="D26" s="13" t="str">
        <x:v>있음 / 없음</x:v>
      </x:c>
      <x:c r="E26" s="13" t="str">
        <x:v>최근0.5~10초</x:v>
      </x:c>
      <x:c r="F26" s="13" t="str">
        <x:v>후퇴 도약 후2초</x:v>
      </x:c>
    </x:row>
  </x:sheetData>
  <x:mergeCells>
    <x:mergeCell ref="A1:F1"/>
    <x:mergeCell ref="A2:F2"/>
  </x:mergeCells>
  <x:pageMargins left="0.7" right="0.7" top="0.75" bottom="0.75" header="0.3" footer="0.3"/>
  <x:tableParts count="1">
    <x:tablePart xmlns:r="http://schemas.openxmlformats.org/officeDocument/2006/relationships" r:id="R68faacad30ba4377"/>
  </x:tableParts>
</x:worksheet>
</file>

<file path=xl/worksheets/sheet8.xml><?xml version="1.0" encoding="utf-8"?>
<x:worksheet xmlns:x="http://schemas.openxmlformats.org/spreadsheetml/2006/main">
  <x:sheetFormatPr defaultRowHeight="15"/>
  <x:cols>
    <x:col min="1" max="1" width="23" hidden="0" customWidth="1"/>
    <x:col min="2" max="2" width="23" hidden="0" customWidth="1"/>
    <x:col min="3" max="3" width="42" hidden="0" customWidth="1"/>
    <x:col min="4" max="4" width="42" hidden="0" customWidth="1"/>
  </x:cols>
  <x:sheetData>
    <x:row r="1" ht="30" customHeight="1">
      <x:c r="A1" s="3" t="str">
        <x:v>HELLSCRIPT 0.1  |  스크립트규칙</x:v>
      </x:c>
      <x:c r="B1" s="3"/>
      <x:c r="C1" s="3"/>
      <x:c r="D1" s="3"/>
    </x:row>
    <x:row r="2" ht="38" customHeight="1">
      <x:c r="A2" s="8" t="str">
        <x:v>신규 설계: 테스트 초안. 실제 플레이 검증 전.</x:v>
      </x:c>
      <x:c r="B2" s="8"/>
      <x:c r="C2" s="8"/>
      <x:c r="D2" s="8"/>
    </x:row>
    <x:row r="4" ht="32" customHeight="1">
      <x:c r="A4" s="18" t="str">
        <x:v>ID</x:v>
      </x:c>
      <x:c r="B4" s="18" t="str">
        <x:v>항목</x:v>
      </x:c>
      <x:c r="C4" s="18" t="str">
        <x:v>옵션·처리</x:v>
      </x:c>
      <x:c r="D4" s="18" t="str">
        <x:v>예외·제약</x:v>
      </x:c>
    </x:row>
    <x:row r="5" ht="76" customHeight="1">
      <x:c r="A5" s="13" t="str">
        <x:v>RULE_SHAPE</x:v>
      </x:c>
      <x:c r="B5" s="13" t="str">
        <x:v>편집 구조</x:v>
      </x:c>
      <x:c r="C5" s="13" t="str">
        <x:v>최대2개 OR 그룹 / 그룹당 최대3개 AND 조건</x:v>
      </x:c>
      <x:c r="D5" s="13" t="str">
        <x:v>수식·코드 직접 입력 없음</x:v>
      </x:c>
    </x:row>
    <x:row r="6" ht="76" customHeight="1">
      <x:c r="A6" s="13" t="str">
        <x:v>SKILL_RULES</x:v>
      </x:c>
      <x:c r="B6" s="13" t="str">
        <x:v>스킬별 규칙</x:v>
      </x:c>
      <x:c r="C6" s="13" t="str">
        <x:v>스킬당 최대3개 실행 조건</x:v>
      </x:c>
      <x:c r="D6" s="13" t="str">
        <x:v>같은 도약에 진입용·탈출용 조건을 따로 부여. CD는 공유</x:v>
      </x:c>
    </x:row>
    <x:row r="7" ht="76" customHeight="1">
      <x:c r="A7" s="13" t="str">
        <x:v>MAX_RULES</x:v>
      </x:c>
      <x:c r="B7" s="13" t="str">
        <x:v>전체 규칙</x:v>
      </x:c>
      <x:c r="C7" s="13" t="str">
        <x:v>프리셋당24개</x:v>
      </x:c>
      <x:c r="D7" s="13" t="str">
        <x:v>성능 제한이 아니라 초기 UI 범위. 테스트 후 조정</x:v>
      </x:c>
    </x:row>
    <x:row r="8" ht="76" customHeight="1">
      <x:c r="A8" s="13" t="str">
        <x:v>PRIORITY</x:v>
      </x:c>
      <x:c r="B8" s="13" t="str">
        <x:v>우선순위</x:v>
      </x:c>
      <x:c r="C8" s="13" t="str">
        <x:v>생존→방어→주요공격→기본공격→회수→탐색 기본값</x:v>
      </x:c>
      <x:c r="D8" s="13" t="str">
        <x:v>사용자 변경 가능; 같은 우선순위면 목록 위 우선</x:v>
      </x:c>
    </x:row>
    <x:row r="9" ht="76" customHeight="1">
      <x:c r="A9" s="13" t="str">
        <x:v>RETRIGGER</x:v>
      </x:c>
      <x:c r="B9" s="13" t="str">
        <x:v>재발동</x:v>
      </x:c>
      <x:c r="C9" s="13" t="str">
        <x:v>지속 조건은 자원·쿨이 다시 가능해지면 재평가</x:v>
      </x:c>
      <x:c r="D9" s="13" t="str">
        <x:v>조건 유지 중 매 프레임 발동하지 않음</x:v>
      </x:c>
    </x:row>
    <x:row r="10" ht="76" customHeight="1">
      <x:c r="A10" s="13" t="str">
        <x:v>ACTION_CHANNEL</x:v>
      </x:c>
      <x:c r="B10" s="13" t="str">
        <x:v>행동 채널</x:v>
      </x:c>
      <x:c r="C10" s="13" t="str">
        <x:v>주 행동1개 / 물약1개 독립</x:v>
      </x:c>
      <x:c r="D10" s="13" t="str">
        <x:v>동시에 두 이동 또는 두 공격을 시작하지 않음</x:v>
      </x:c>
    </x:row>
    <x:row r="11" ht="76" customHeight="1">
      <x:c r="A11" s="13" t="str">
        <x:v>TARGET_PICK</x:v>
      </x:c>
      <x:c r="B11" s="13" t="str">
        <x:v>대상 선정</x:v>
      </x:c>
      <x:c r="C11" s="13" t="str">
        <x:v>가까움 / 저HP / 정예 / 지원형 / 원거리 / 다수 직선 / 밀집 중심</x:v>
      </x:c>
      <x:c r="D11" s="13" t="str">
        <x:v>인지된 유효 적만 포함</x:v>
      </x:c>
    </x:row>
    <x:row r="12" ht="76" customHeight="1">
      <x:c r="A12" s="13" t="str">
        <x:v>EXPLORE</x:v>
      </x:c>
      <x:c r="B12" s="13" t="str">
        <x:v>탐색</x:v>
      </x:c>
      <x:c r="C12" s="13" t="str">
        <x:v>오른벽 / 왼벽 / 가까운 미탐색 경로 / 인지 적 추적</x:v>
      </x:c>
      <x:c r="D12" s="13" t="str">
        <x:v>방문 간선 기록; 반복 순환은 다음 미탐색 연결로 복구</x:v>
      </x:c>
    </x:row>
    <x:row r="13" ht="76" customHeight="1">
      <x:c r="A13" s="13" t="str">
        <x:v>COMBAT_MOVE</x:v>
      </x:c>
      <x:c r="B13" s="13" t="str">
        <x:v>전투 이동</x:v>
      </x:c>
      <x:c r="C13" s="13" t="str">
        <x:v>중심 진입 / 가장자리 선회 / 정지 / 목표거리 유지 / 후퇴</x:v>
      </x:c>
      <x:c r="D13" s="13" t="str">
        <x:v>일반 이동은 스킬 이동 중 정지</x:v>
      </x:c>
    </x:row>
    <x:row r="14" ht="76" customHeight="1">
      <x:c r="A14" s="13" t="str">
        <x:v>ORBIT</x:v>
      </x:c>
      <x:c r="B14" s="13" t="str">
        <x:v>선회</x:v>
      </x:c>
      <x:c r="C14" s="13" t="str">
        <x:v>좌/우 / 유지거리0.5~5m</x:v>
      </x:c>
      <x:c r="D14" s="13" t="str">
        <x:v>군집 기준 중심·외곽을 이동 가능한 지점으로 투영</x:v>
      </x:c>
    </x:row>
    <x:row r="15" ht="76" customHeight="1">
      <x:c r="A15" s="13" t="str">
        <x:v>CAST_POINT</x:v>
      </x:c>
      <x:c r="B15" s="13" t="str">
        <x:v>지점 선택</x:v>
      </x:c>
      <x:c r="C15" s="13" t="str">
        <x:v>현재대상 / 무리 중심 / 가장자리 / 자기위치 / 적밀도 최소 / 위험 최소</x:v>
      </x:c>
      <x:c r="D15" s="13" t="str">
        <x:v>후보별 점수는 실제 선택 기준을 로그에 남김</x:v>
      </x:c>
    </x:row>
    <x:row r="16" ht="76" customHeight="1">
      <x:c r="A16" s="13" t="str">
        <x:v>SAFE_FALLBACK</x:v>
      </x:c>
      <x:c r="B16" s="13" t="str">
        <x:v>실행 보장</x:v>
      </x:c>
      <x:c r="C16" s="13" t="str">
        <x:v>유효 지점 중 최선 선택. 완벽히 안전한 지점 요구하지 않음</x:v>
      </x:c>
      <x:c r="D16" s="13" t="str">
        <x:v>유효 지점이 전혀 없으면 NOT_READY. 발동 전 단계</x:v>
      </x:c>
    </x:row>
    <x:row r="17" ht="76" customHeight="1">
      <x:c r="A17" s="13" t="str">
        <x:v>CANDIDATES</x:v>
      </x:c>
      <x:c r="B17" s="13" t="str">
        <x:v>위치 후보</x:v>
      </x:c>
      <x:c r="C17" s="13" t="str">
        <x:v>범위 내 16방향×3거리+투영한 목표지점, 최대64개</x:v>
      </x:c>
      <x:c r="D17" s="13" t="str">
        <x:v>전역 최적 보장 아님. 생성한 유효 후보 중 최선</x:v>
      </x:c>
    </x:row>
    <x:row r="18" ht="76" customHeight="1">
      <x:c r="A18" s="13" t="str">
        <x:v>DENSITY</x:v>
      </x:c>
      <x:c r="B18" s="13" t="str">
        <x:v>밀도 최소</x:v>
      </x:c>
      <x:c r="C18" s="13" t="str">
        <x:v>반경3m 내 인지 적 수 최소</x:v>
      </x:c>
      <x:c r="D18" s="13" t="str">
        <x:v>동률: 임박 위험→목표거리 오차→이동거리→후보ID</x:v>
      </x:c>
    </x:row>
    <x:row r="19" ht="76" customHeight="1">
      <x:c r="A19" s="13" t="str">
        <x:v>MOVEMENT_PATH</x:v>
      </x:c>
      <x:c r="B19" s="13" t="str">
        <x:v>이동 판정</x:v>
      </x:c>
      <x:c r="C19" s="13" t="str">
        <x:v>도보는 연결 경로 / 도약·순간이동은 착지+지형 규칙</x:v>
      </x:c>
      <x:c r="D19" s="13" t="str">
        <x:v>벽 너머 밀도 계산으로 사각지대의 적을 미리 알지 못함</x:v>
      </x:c>
    </x:row>
    <x:row r="20" ht="76" customHeight="1">
      <x:c r="A20" s="13" t="str">
        <x:v>INTERRUPT</x:v>
      </x:c>
      <x:c r="B20" s="13" t="str">
        <x:v>중단</x:v>
      </x:c>
      <x:c r="C20" s="13" t="str">
        <x:v>접근·채널·시전 전반부는 허용 설정 가능</x:v>
      </x:c>
      <x:c r="D20" s="13" t="str">
        <x:v>이미 발사/도약 이행 후 회수·순간이동 취소 불가. 사망은 모든 행동 종료</x:v>
      </x:c>
    </x:row>
    <x:row r="21" ht="76" customHeight="1">
      <x:c r="A21" s="13" t="str">
        <x:v>COST_COMMIT</x:v>
      </x:c>
      <x:c r="B21" s="13" t="str">
        <x:v>비용·쿨 확정</x:v>
      </x:c>
      <x:c r="C21" s="13" t="str">
        <x:v>행동 발동 시 비용·쿨 확정</x:v>
      </x:c>
      <x:c r="D21" s="13" t="str">
        <x:v>시전 전 취소 비용없음 / 발동후 취소 환불없음</x:v>
      </x:c>
    </x:row>
    <x:row r="22" ht="76" customHeight="1">
      <x:c r="A22" s="13" t="str">
        <x:v>TARGET_LOST</x:v>
      </x:c>
      <x:c r="B22" s="13" t="str">
        <x:v>발동 후 대상 소멸</x:v>
      </x:c>
      <x:c r="C22" s="13" t="str">
        <x:v>마지막 유효 조준 지점으로 공격·착지 완료</x:v>
      </x:c>
      <x:c r="D22" s="13" t="str">
        <x:v>새 조건을 몰래 실행하지 않음. 실제 피해0 가능</x:v>
      </x:c>
    </x:row>
    <x:row r="23" ht="76" customHeight="1">
      <x:c r="A23" s="13" t="str">
        <x:v>RESERVATION</x:v>
      </x:c>
      <x:c r="B23" s="13" t="str">
        <x:v>이동기 보존</x:v>
      </x:c>
      <x:c r="C23" s="13" t="str">
        <x:v>공격사용 허용 / 생존조건 전용</x:v>
      </x:c>
      <x:c r="D23" s="13" t="str">
        <x:v>쿨 초기화 전설도 자동 시전 아님</x:v>
      </x:c>
    </x:row>
    <x:row r="24" ht="76" customHeight="1">
      <x:c r="A24" s="13" t="str">
        <x:v>HYSTERESIS</x:v>
      </x:c>
      <x:c r="B24" s="13" t="str">
        <x:v>흔들림 방지</x:v>
      </x:c>
      <x:c r="C24" s="13" t="str">
        <x:v>타깃0.6초 유지 / 목표거리±0.75m</x:v>
      </x:c>
      <x:c r="D24" s="13" t="str">
        <x:v>상위 생존 조건·대상 소멸 예외</x:v>
      </x:c>
    </x:row>
    <x:row r="25" ht="76" customHeight="1">
      <x:c r="A25" s="13" t="str">
        <x:v>LOOT_ALLOWED</x:v>
      </x:c>
      <x:c r="B25" s="13" t="str">
        <x:v>획득 허용</x:v>
      </x:c>
      <x:c r="C25" s="13" t="str">
        <x:v>등급 이상 / 세트 여부 / 보석 여부 / 골드 더미 최소량</x:v>
      </x:c>
      <x:c r="D25" s="13" t="str">
        <x:v>반경 내 아이템 획득 가능 여부</x:v>
      </x:c>
    </x:row>
    <x:row r="26" ht="76" customHeight="1">
      <x:c r="A26" s="13" t="str">
        <x:v>LOOT_PURSUIT</x:v>
      </x:c>
      <x:c r="B26" s="13" t="str">
        <x:v>적극 회수</x:v>
      </x:c>
      <x:c r="C26" s="13" t="str">
        <x:v>등급·세트 별 이동 여부</x:v>
      </x:c>
      <x:c r="D26" s="13" t="str">
        <x:v>전설이 보여도 적극회수 설정 없으면 주우러 이동하지 않음</x:v>
      </x:c>
    </x:row>
    <x:row r="27" ht="76" customHeight="1">
      <x:c r="A27" s="13" t="str">
        <x:v>FULL_BAG</x:v>
      </x:c>
      <x:c r="B27" s="13" t="str">
        <x:v>가득 참</x:v>
      </x:c>
      <x:c r="C27" s="13" t="str">
        <x:v>귀환분해 / 최저가치 폐기 / 획득무시</x:v>
      </x:c>
      <x:c r="D27" s="13" t="str">
        <x:v>신규 아이템 포함 비교. 버린 아이템 재획득 금지</x:v>
      </x:c>
    </x:row>
    <x:row r="28" ht="76" customHeight="1">
      <x:c r="A28" s="13" t="str">
        <x:v>FAIL_POLICY</x:v>
      </x:c>
      <x:c r="B28" s="13" t="str">
        <x:v>실패 후</x:v>
      </x:c>
      <x:c r="C28" s="13" t="str">
        <x:v>재도전 / N단 낮춤 / 귀환</x:v>
      </x:c>
      <x:c r="D28" s="13" t="str">
        <x:v>연속 실패 N회 중단 옵션</x:v>
      </x:c>
    </x:row>
  </x:sheetData>
  <x:mergeCells>
    <x:mergeCell ref="A1:D1"/>
    <x:mergeCell ref="A2:D2"/>
  </x:mergeCells>
  <x:pageMargins left="0.7" right="0.7" top="0.75" bottom="0.75" header="0.3" footer="0.3"/>
  <x:tableParts count="1">
    <x:tablePart xmlns:r="http://schemas.openxmlformats.org/officeDocument/2006/relationships" r:id="Rf69593ad1fc644a8"/>
  </x:tableParts>
</x:worksheet>
</file>

<file path=xl/worksheets/sheet9.xml><?xml version="1.0" encoding="utf-8"?>
<x:worksheet xmlns:x="http://schemas.openxmlformats.org/spreadsheetml/2006/main">
  <x:sheetFormatPr defaultRowHeight="15"/>
  <x:cols>
    <x:col min="1" max="1" width="12" hidden="0" customWidth="1"/>
    <x:col min="2" max="2" width="12" hidden="0" customWidth="1"/>
    <x:col min="3" max="3" width="22" hidden="0" customWidth="1"/>
    <x:col min="4" max="4" width="24" hidden="0" customWidth="1"/>
    <x:col min="5" max="5" width="24" hidden="0" customWidth="1"/>
    <x:col min="6" max="6" width="42" hidden="0" customWidth="1"/>
    <x:col min="7" max="7" width="42" hidden="0" customWidth="1"/>
    <x:col min="8" max="8" width="42" hidden="0" customWidth="1"/>
  </x:cols>
  <x:sheetData>
    <x:row r="1" ht="30" customHeight="1">
      <x:c r="A1" s="3" t="str">
        <x:v>HELLSCRIPT 0.1  |  추천프리셋6</x:v>
      </x:c>
      <x:c r="B1" s="3"/>
      <x:c r="C1" s="3"/>
      <x:c r="D1" s="3"/>
      <x:c r="E1" s="3"/>
      <x:c r="F1" s="3"/>
      <x:c r="G1" s="3"/>
      <x:c r="H1" s="3"/>
    </x:row>
    <x:row r="2" ht="38" customHeight="1">
      <x:c r="A2" s="8" t="str">
        <x:v>신규 설계: 테스트 초안. 실제 플레이 검증 전.</x:v>
      </x:c>
      <x:c r="B2" s="8"/>
      <x:c r="C2" s="8"/>
      <x:c r="D2" s="8"/>
      <x:c r="E2" s="8"/>
      <x:c r="F2" s="8"/>
      <x:c r="G2" s="8"/>
      <x:c r="H2" s="8"/>
    </x:row>
    <x:row r="4" ht="32" customHeight="1">
      <x:c r="A4" s="18" t="str">
        <x:v>ID</x:v>
      </x:c>
      <x:c r="B4" s="18" t="str">
        <x:v>직업</x:v>
      </x:c>
      <x:c r="C4" s="18" t="str">
        <x:v>이름</x:v>
      </x:c>
      <x:c r="D4" s="18" t="str">
        <x:v>액티브ID</x:v>
      </x:c>
      <x:c r="E4" s="18" t="str">
        <x:v>패시브ID</x:v>
      </x:c>
      <x:c r="F4" s="18" t="str">
        <x:v>기본이동</x:v>
      </x:c>
      <x:c r="G4" s="18" t="str">
        <x:v>주요 우선규칙</x:v>
      </x:c>
      <x:c r="H4" s="18" t="str">
        <x:v>주의</x:v>
      </x:c>
    </x:row>
    <x:row r="5" ht="76" customHeight="1">
      <x:c r="A5" s="13" t="str">
        <x:v>PW01</x:v>
      </x:c>
      <x:c r="B5" s="13" t="str">
        <x:v>전사</x:v>
      </x:c>
      <x:c r="C5" s="13" t="str">
        <x:v>회오리 생존</x:v>
      </x:c>
      <x:c r="D5" s="13" t="str">
        <x:v>W01,W02,W05,W06</x:v>
      </x:c>
      <x:c r="E5" s="13" t="str">
        <x:v>WP01,WP02,WP03</x:v>
      </x:c>
      <x:c r="F5" s="13" t="str">
        <x:v>가장자리 시계방향 / 중심과2m</x:v>
      </x:c>
      <x:c r="G5" s="13" t="str">
        <x:v>HP≤30% 도약 밀도최소→HP≤55%철벽→자원≤40%함성→3m적≥2 또는 보스면휠윈드→기본공격</x:v>
      </x:c>
      <x:c r="H5" s="13" t="str">
        <x:v>도약 공격사용 금지 / HP≤40% 물약 / 전설·세트 적극회수</x:v>
      </x:c>
    </x:row>
    <x:row r="6" ht="76" customHeight="1">
      <x:c r="A6" s="13" t="str">
        <x:v>PW02</x:v>
      </x:c>
      <x:c r="B6" s="13" t="str">
        <x:v>전사</x:v>
      </x:c>
      <x:c r="C6" s="13" t="str">
        <x:v>도약 분쇄</x:v>
      </x:c>
      <x:c r="D6" s="13" t="str">
        <x:v>W02,W03,W04,W05</x:v>
      </x:c>
      <x:c r="E6" s="13" t="str">
        <x:v>WP01,WP03,WP06</x:v>
      </x:c>
      <x:c r="F6" s="13" t="str">
        <x:v>가까운 적 추적 / 근접1.5m</x:v>
      </x:c>
      <x:c r="G6" s="13" t="str">
        <x:v>HP≤30%탈출도약→철벽→거리≥5m AND 무리≥3 AND HP≥70%진입도약→지면강타→분쇄→기본</x:v>
      </x:c>
      <x:c r="H6" s="13" t="str">
        <x:v>두 도약 규칙은 같은 쿨 공유. 공격 진입의 위험 비교용</x:v>
      </x:c>
    </x:row>
    <x:row r="7" ht="76" customHeight="1">
      <x:c r="A7" s="13" t="str">
        <x:v>PA01</x:v>
      </x:c>
      <x:c r="B7" s="13" t="str">
        <x:v>궁수</x:v>
      </x:c>
      <x:c r="C7" s="13" t="str">
        <x:v>관통 거리유지</x:v>
      </x:c>
      <x:c r="D7" s="13" t="str">
        <x:v>A01,A02,A04,A05</x:v>
      </x:c>
      <x:c r="E7" s="13" t="str">
        <x:v>AP01,AP02,AP03</x:v>
      </x:c>
      <x:c r="F7" s="13" t="str">
        <x:v>거리7m 유지 / 지원형 우선</x:v>
      </x:c>
      <x:c r="G7" s="13" t="str">
        <x:v>HP≤40%물약→거리≤3.5m후퇴도약→정예·보스표식→직선2명 이상관통→무리3명다중→기본</x:v>
      </x:c>
      <x:c r="H7" s="13" t="str">
        <x:v>후퇴 후 목표 재선정. 표식이 남으면 재시전하지 않음</x:v>
      </x:c>
    </x:row>
    <x:row r="8" ht="76" customHeight="1">
      <x:c r="A8" s="13" t="str">
        <x:v>PA02</x:v>
      </x:c>
      <x:c r="B8" s="13" t="str">
        <x:v>궁수</x:v>
      </x:c>
      <x:c r="C8" s="13" t="str">
        <x:v>맹독 매복</x:v>
      </x:c>
      <x:c r="D8" s="13" t="str">
        <x:v>A01,A03,A04,A06</x:v>
      </x:c>
      <x:c r="E8" s="13" t="str">
        <x:v>AP02,AP04,AP05</x:v>
      </x:c>
      <x:c r="F8" s="13" t="str">
        <x:v>거리6m 유지 / 현재덫 주변 유도</x:v>
      </x:c>
      <x:c r="G8" s="13" t="str">
        <x:v>후퇴도약→추적 적 경로에덫→중독적존재시그림자화살→관통→기본</x:v>
      </x:c>
      <x:c r="H8" s="13" t="str">
        <x:v>덫 방향으로 후퇴하되 경로 유효성 먼저 검사</x:v>
      </x:c>
    </x:row>
    <x:row r="9" ht="76" customHeight="1">
      <x:c r="A9" s="13" t="str">
        <x:v>PM01</x:v>
      </x:c>
      <x:c r="B9" s="13" t="str">
        <x:v>마법사</x:v>
      </x:c>
      <x:c r="C9" s="13" t="str">
        <x:v>서리 장판</x:v>
      </x:c>
      <x:c r="D9" s="13" t="str">
        <x:v>M01,M02,M04,M05</x:v>
      </x:c>
      <x:c r="E9" s="13" t="str">
        <x:v>MP01,MP02,MP04</x:v>
      </x:c>
      <x:c r="F9" s="13" t="str">
        <x:v>거리7m 유지 / 장판 내 적 우선</x:v>
      </x:c>
      <x:c r="G9" s="13" t="str">
        <x:v>HP≤35%순간이동→HP≤55%보호막→무리3명눈보라→눈보라내대상화염구→기본</x:v>
      </x:c>
      <x:c r="H9" s="13" t="str">
        <x:v>세트 없이도 성립. 세트 착용 시 냉기추가피해 상승</x:v>
      </x:c>
    </x:row>
    <x:row r="10" ht="76" customHeight="1">
      <x:c r="A10" s="13" t="str">
        <x:v>PM02</x:v>
      </x:c>
      <x:c r="B10" s="13" t="str">
        <x:v>마법사</x:v>
      </x:c>
      <x:c r="C10" s="13" t="str">
        <x:v>연쇄 제어</x:v>
      </x:c>
      <x:c r="D10" s="13" t="str">
        <x:v>M03,M04,M05,M06</x:v>
      </x:c>
      <x:c r="E10" s="13" t="str">
        <x:v>MP03,MP04,MP05</x:v>
      </x:c>
      <x:c r="F10" s="13" t="str">
        <x:v>거리6m 유지 / 지원형 우선</x:v>
      </x:c>
      <x:c r="G10" s="13" t="str">
        <x:v>위험시순간이동→보호막→3m적≥2서리폭발→연쇄번개→기본</x:v>
      </x:c>
      <x:c r="H10" s="13" t="str">
        <x:v>보스 단일 화력과 군중전 화력을 따로 비교</x:v>
      </x:c>
    </x:row>
  </x:sheetData>
  <x:mergeCells>
    <x:mergeCell ref="A1:H1"/>
    <x:mergeCell ref="A2:H2"/>
  </x:mergeCells>
  <x:pageMargins left="0.7" right="0.7" top="0.75" bottom="0.75" header="0.3" footer="0.3"/>
  <x:tableParts count="1">
    <x:tablePart xmlns:r="http://schemas.openxmlformats.org/officeDocument/2006/relationships" r:id="Rc4a96229bd7d4d56"/>
  </x:tableParts>
</x:worksheet>
</file>

<file path=xl/worksheets/sheet10.xml><?xml version="1.0" encoding="utf-8"?>
<x:worksheet xmlns:x="http://schemas.openxmlformats.org/spreadsheetml/2006/main">
  <x:sheetFormatPr defaultRowHeight="15"/>
  <x:cols>
    <x:col min="1" max="1" width="12" hidden="0" customWidth="1"/>
    <x:col min="2" max="2" width="12" hidden="0" customWidth="1"/>
    <x:col min="3" max="3" width="24" hidden="0" customWidth="1"/>
    <x:col min="4" max="4" width="13" hidden="0" customWidth="1"/>
    <x:col min="5" max="5" width="14" hidden="0" customWidth="1"/>
    <x:col min="6" max="6" width="42" hidden="0" customWidth="1"/>
    <x:col min="7" max="7" width="42" hidden="0" customWidth="1"/>
    <x:col min="8" max="8" width="42" hidden="0" customWidth="1"/>
  </x:cols>
  <x:sheetData>
    <x:row r="1" ht="30" customHeight="1">
      <x:c r="A1" s="3" t="str">
        <x:v>HELLSCRIPT 0.1  |  전설15</x:v>
      </x:c>
      <x:c r="B1" s="3"/>
      <x:c r="C1" s="3"/>
      <x:c r="D1" s="3"/>
      <x:c r="E1" s="3"/>
      <x:c r="F1" s="3"/>
      <x:c r="G1" s="3"/>
      <x:c r="H1" s="3"/>
    </x:row>
    <x:row r="2" ht="38" customHeight="1">
      <x:c r="A2" s="8" t="str">
        <x:v>신규 설계: 테스트 초안. 실제 플레이 검증 전.</x:v>
      </x:c>
      <x:c r="B2" s="8"/>
      <x:c r="C2" s="8"/>
      <x:c r="D2" s="8"/>
      <x:c r="E2" s="8"/>
      <x:c r="F2" s="8"/>
      <x:c r="G2" s="8"/>
      <x:c r="H2" s="8"/>
    </x:row>
    <x:row r="4" ht="32" customHeight="1">
      <x:c r="A4" s="18" t="str">
        <x:v>ID</x:v>
      </x:c>
      <x:c r="B4" s="18" t="str">
        <x:v>직업</x:v>
      </x:c>
      <x:c r="C4" s="18" t="str">
        <x:v>이름</x:v>
      </x:c>
      <x:c r="D4" s="18" t="str">
        <x:v>부위</x:v>
      </x:c>
      <x:c r="E4" s="18" t="str">
        <x:v>등장가중치</x:v>
      </x:c>
      <x:c r="F4" s="18" t="str">
        <x:v>효과</x:v>
      </x:c>
      <x:c r="G4" s="18" t="str">
        <x:v>제약</x:v>
      </x:c>
      <x:c r="H4" s="18" t="str">
        <x:v>규칙 변화</x:v>
      </x:c>
    </x:row>
    <x:row r="5" ht="76" customHeight="1">
      <x:c r="A5" s="13" t="str">
        <x:v>LW01</x:v>
      </x:c>
      <x:c r="B5" s="13" t="str">
        <x:v>전사</x:v>
      </x:c>
      <x:c r="C5" s="13" t="str">
        <x:v>소용돌이의 송곳니</x:v>
      </x:c>
      <x:c r="D5" s="13" t="str">
        <x:v>무기</x:v>
      </x:c>
      <x:c r="E5" s="24" t="n">
        <x:v>100</x:v>
      </x:c>
      <x:c r="F5" s="13" t="str">
        <x:v>휠윈드 틱 중 1초마다 반경3.5m 내 일반·정예를 중심 쪽1.5m 끌어당김</x:v>
      </x:c>
      <x:c r="G5" s="13" t="str">
        <x:v>보스 위치 변경 불가 / 이동가능지점만 / 재귀 발동 없음</x:v>
      </x:c>
      <x:c r="H5" s="13" t="str">
        <x:v>중심·가장자리 설정에 따라 군집 모양 변화</x:v>
      </x:c>
    </x:row>
    <x:row r="6" ht="76" customHeight="1">
      <x:c r="A6" s="13" t="str">
        <x:v>LW02</x:v>
      </x:c>
      <x:c r="B6" s="13" t="str">
        <x:v>전사</x:v>
      </x:c>
      <x:c r="C6" s="13" t="str">
        <x:v>낙성의 발걸음</x:v>
      </x:c>
      <x:c r="D6" s="13" t="str">
        <x:v>발</x:v>
      </x:c>
      <x:c r="E6" s="24" t="n">
        <x:v>100</x:v>
      </x:c>
      <x:c r="F6" s="13" t="str">
        <x:v>도약 착지에 반경4m D90% 물리 충격파 추가</x:v>
      </x:c>
      <x:c r="G6" s="13" t="str">
        <x:v>원래 착지 피해와 별도1회</x:v>
      </x:c>
      <x:c r="H6" s="13" t="str">
        <x:v>군집 가장자리에 착지해도 다수를 공격</x:v>
      </x:c>
    </x:row>
    <x:row r="7" ht="76" customHeight="1">
      <x:c r="A7" s="13" t="str">
        <x:v>LW03</x:v>
      </x:c>
      <x:c r="B7" s="13" t="str">
        <x:v>전사</x:v>
      </x:c>
      <x:c r="C7" s="13" t="str">
        <x:v>고독한 처형</x:v>
      </x:c>
      <x:c r="D7" s="13" t="str">
        <x:v>손</x:v>
      </x:c>
      <x:c r="E7" s="24" t="n">
        <x:v>20</x:v>
      </x:c>
      <x:c r="F7" s="13" t="str">
        <x:v>분쇄 일격이 적1명만 맞히면 그 공격 가산 피해+50%</x:v>
      </x:c>
      <x:c r="G7" s="13" t="str">
        <x:v>적중 대상 수로 판정</x:v>
      </x:c>
      <x:c r="H7" s="13" t="str">
        <x:v>보스·고립 정예 공략</x:v>
      </x:c>
    </x:row>
    <x:row r="8" ht="76" customHeight="1">
      <x:c r="A8" s="13" t="str">
        <x:v>LW04</x:v>
      </x:c>
      <x:c r="B8" s="13" t="str">
        <x:v>전사</x:v>
      </x:c>
      <x:c r="C8" s="13" t="str">
        <x:v>마지막 명령</x:v>
      </x:c>
      <x:c r="D8" s="13" t="str">
        <x:v>목걸이</x:v>
      </x:c>
      <x:c r="E8" s="24" t="n">
        <x:v>1</x:v>
      </x:c>
      <x:c r="F8" s="13" t="str">
        <x:v>HP가30% 위에서 이하로 내려가면 도약 쿨 즉시 초기화</x:v>
      </x:c>
      <x:c r="G8" s="13" t="str">
        <x:v>내부CD30초 / 자동시전 아님 / 도약 장착 필요</x:v>
      </x:c>
      <x:c r="H8" s="13" t="str">
        <x:v>위기 대응 규칙이 있을 때만 실제 탈출</x:v>
      </x:c>
    </x:row>
    <x:row r="9" ht="76" customHeight="1">
      <x:c r="A9" s="13" t="str">
        <x:v>LA01</x:v>
      </x:c>
      <x:c r="B9" s="13" t="str">
        <x:v>궁수</x:v>
      </x:c>
      <x:c r="C9" s="13" t="str">
        <x:v>끝없는 궤적</x:v>
      </x:c>
      <x:c r="D9" s="13" t="str">
        <x:v>무기</x:v>
      </x:c>
      <x:c r="E9" s="24" t="n">
        <x:v>100</x:v>
      </x:c>
      <x:c r="F9" s="13" t="str">
        <x:v>관통 사격의 두 번째 이후 대상에 순서당 가산 피해+15%, 최대+60%</x:v>
      </x:c>
      <x:c r="G9" s="13" t="str">
        <x:v>첫대상 추가없음</x:v>
      </x:c>
      <x:c r="H9" s="13" t="str">
        <x:v>가장 가까운 적 대신 관통각 최적화</x:v>
      </x:c>
    </x:row>
    <x:row r="10" ht="76" customHeight="1">
      <x:c r="A10" s="13" t="str">
        <x:v>LA02</x:v>
      </x:c>
      <x:c r="B10" s="13" t="str">
        <x:v>궁수</x:v>
      </x:c>
      <x:c r="C10" s="13" t="str">
        <x:v>좁혀진 사선</x:v>
      </x:c>
      <x:c r="D10" s="13" t="str">
        <x:v>손</x:v>
      </x:c>
      <x:c r="E10" s="24" t="n">
        <x:v>20</x:v>
      </x:c>
      <x:c r="F10" s="13" t="str">
        <x:v>다중 사격 발사각이20도가 되고 동일 적에게 최대3발 적중 허용</x:v>
      </x:c>
      <x:c r="G10" s="13" t="str">
        <x:v>총3발 유지 / 계수증가 없음</x:v>
      </x:c>
      <x:c r="H10" s="13" t="str">
        <x:v>군중전 대신 단일대상 근접각 빌드</x:v>
      </x:c>
    </x:row>
    <x:row r="11" ht="76" customHeight="1">
      <x:c r="A11" s="13" t="str">
        <x:v>LA03</x:v>
      </x:c>
      <x:c r="B11" s="13" t="str">
        <x:v>궁수</x:v>
      </x:c>
      <x:c r="C11" s="13" t="str">
        <x:v>독사의 탈피</x:v>
      </x:c>
      <x:c r="D11" s="13" t="str">
        <x:v>발</x:v>
      </x:c>
      <x:c r="E11" s="24" t="n">
        <x:v>100</x:v>
      </x:c>
      <x:c r="F11" s="13" t="str">
        <x:v>후퇴 도약 시작 지점에 지속시간60%의 맹독 덫 생성</x:v>
      </x:c>
      <x:c r="G11" s="13" t="str">
        <x:v>A03장착 필요 / 자원·쿨 미소모 / 최대덫2에 포함</x:v>
      </x:c>
      <x:c r="H11" s="13" t="str">
        <x:v>도망가는 경로가 공격 배치가 됨</x:v>
      </x:c>
    </x:row>
    <x:row r="12" ht="76" customHeight="1">
      <x:c r="A12" s="13" t="str">
        <x:v>LA04</x:v>
      </x:c>
      <x:c r="B12" s="13" t="str">
        <x:v>궁수</x:v>
      </x:c>
      <x:c r="C12" s="13" t="str">
        <x:v>검은 전염</x:v>
      </x:c>
      <x:c r="D12" s="13" t="str">
        <x:v>목걸이</x:v>
      </x:c>
      <x:c r="E12" s="24" t="n">
        <x:v>1</x:v>
      </x:c>
      <x:c r="F12" s="13" t="str">
        <x:v>그림자 화살이 중독 적에게 적중하면 원암흑피해50%를3m 내 다른2명에 전달</x:v>
      </x:c>
      <x:c r="G12" s="13" t="str">
        <x:v>전달피해는 추가전달 금지 / 동일공격 적당1회</x:v>
      </x:c>
      <x:c r="H12" s="13" t="str">
        <x:v>중독·표식·사격 대상을 연결</x:v>
      </x:c>
    </x:row>
    <x:row r="13" ht="76" customHeight="1">
      <x:c r="A13" s="13" t="str">
        <x:v>LM01</x:v>
      </x:c>
      <x:c r="B13" s="13" t="str">
        <x:v>마법사</x:v>
      </x:c>
      <x:c r="C13" s="13" t="str">
        <x:v>겨울의 발자취</x:v>
      </x:c>
      <x:c r="D13" s="13" t="str">
        <x:v>무기</x:v>
      </x:c>
      <x:c r="E13" s="24" t="n">
        <x:v>100</x:v>
      </x:c>
      <x:c r="F13" s="13" t="str">
        <x:v>눈보라를 고정 또는 현재 대상 쪽 초당1m 추적으로 설정 가능</x:v>
      </x:c>
      <x:c r="G13" s="13" t="str">
        <x:v>장착 시 선택지 노출 / 최대 이동4m / 통행 지형 한정</x:v>
      </x:c>
      <x:c r="H13" s="13" t="str">
        <x:v>장판 추적 여부까지 사용자 선택</x:v>
      </x:c>
    </x:row>
    <x:row r="14" ht="76" customHeight="1">
      <x:c r="A14" s="13" t="str">
        <x:v>LM02</x:v>
      </x:c>
      <x:c r="B14" s="13" t="str">
        <x:v>마법사</x:v>
      </x:c>
      <x:c r="C14" s="13" t="str">
        <x:v>되울림의 잿불</x:v>
      </x:c>
      <x:c r="D14" s="13" t="str">
        <x:v>손</x:v>
      </x:c>
      <x:c r="E14" s="24" t="n">
        <x:v>100</x:v>
      </x:c>
      <x:c r="F14" s="13" t="str">
        <x:v>화염구 착탄0.4초 후 반경3.5m D70% 화염 추가폭발</x:v>
      </x:c>
      <x:c r="G14" s="13" t="str">
        <x:v>추가폭발은 다시 폭발하지 않음</x:v>
      </x:c>
      <x:c r="H14" s="13" t="str">
        <x:v>적의 이동 경로를 예측하는 배치</x:v>
      </x:c>
    </x:row>
    <x:row r="15" ht="76" customHeight="1">
      <x:c r="A15" s="13" t="str">
        <x:v>LM03</x:v>
      </x:c>
      <x:c r="B15" s="13" t="str">
        <x:v>마법사</x:v>
      </x:c>
      <x:c r="C15" s="13" t="str">
        <x:v>환류의 매듭</x:v>
      </x:c>
      <x:c r="D15" s="13" t="str">
        <x:v>허리</x:v>
      </x:c>
      <x:c r="E15" s="24" t="n">
        <x:v>20</x:v>
      </x:c>
      <x:c r="F15" s="13" t="str">
        <x:v>원소 보호막이 생성 당시 최대HP15% 피해를 흡수하면 자원20회복</x:v>
      </x:c>
      <x:c r="G15" s="13" t="str">
        <x:v>보호막1회당1회 / 내부CD4초</x:v>
      </x:c>
      <x:c r="H15" s="13" t="str">
        <x:v>보호막을 단순 저HP 조건 외에 사용</x:v>
      </x:c>
    </x:row>
    <x:row r="16" ht="76" customHeight="1">
      <x:c r="A16" s="13" t="str">
        <x:v>LM04</x:v>
      </x:c>
      <x:c r="B16" s="13" t="str">
        <x:v>마법사</x:v>
      </x:c>
      <x:c r="C16" s="13" t="str">
        <x:v>종말의 회로</x:v>
      </x:c>
      <x:c r="D16" s="13" t="str">
        <x:v>목걸이</x:v>
      </x:c>
      <x:c r="E16" s="24" t="n">
        <x:v>1</x:v>
      </x:c>
      <x:c r="F16" s="13" t="str">
        <x:v>연쇄 번개가 같은 적을 최대2회 방문 가능. 두 번째 피해50%</x:v>
      </x:c>
      <x:c r="G16" s="13" t="str">
        <x:v>총도약수 유지 / 바로 직전 대상으로 연속반복 금지</x:v>
      </x:c>
      <x:c r="H16" s="13" t="str">
        <x:v>단일 보스에 단독이면 재방문 못함; 부하 조합이 중요</x:v>
      </x:c>
    </x:row>
    <x:row r="17" ht="76" customHeight="1">
      <x:c r="A17" s="13" t="str">
        <x:v>LC01</x:v>
      </x:c>
      <x:c r="B17" s="13" t="str">
        <x:v>공용</x:v>
      </x:c>
      <x:c r="C17" s="13" t="str">
        <x:v>파수꾼의 고리</x:v>
      </x:c>
      <x:c r="D17" s="13" t="str">
        <x:v>반지</x:v>
      </x:c>
      <x:c r="E17" s="24" t="n">
        <x:v>100</x:v>
      </x:c>
      <x:c r="F17" s="13" t="str">
        <x:v>획득 반경+2.5m, 적극회수 이동 중 비전투 이속+15%</x:v>
      </x:c>
      <x:c r="G17" s="13" t="str">
        <x:v>전투 진입 시 이동보너스 종료</x:v>
      </x:c>
      <x:c r="H17" s="13" t="str">
        <x:v>회수 동선과 파밍 효율</x:v>
      </x:c>
    </x:row>
    <x:row r="18" ht="76" customHeight="1">
      <x:c r="A18" s="13" t="str">
        <x:v>LC02</x:v>
      </x:c>
      <x:c r="B18" s="13" t="str">
        <x:v>공용</x:v>
      </x:c>
      <x:c r="C18" s="13" t="str">
        <x:v>절제의 서약</x:v>
      </x:c>
      <x:c r="D18" s="13" t="str">
        <x:v>목걸이</x:v>
      </x:c>
      <x:c r="E18" s="24" t="n">
        <x:v>100</x:v>
      </x:c>
      <x:c r="F18" s="13" t="str">
        <x:v>동일 대상 기본공격3회 적중 후 다음 자원소모스킬 비용-50%</x:v>
      </x:c>
      <x:c r="G18" s="13" t="str">
        <x:v>내부CD4초 / 강화1중첩·5초 유지</x:v>
      </x:c>
      <x:c r="H18" s="13" t="str">
        <x:v>기본공격과 주력기의 순환</x:v>
      </x:c>
    </x:row>
    <x:row r="19" ht="76" customHeight="1">
      <x:c r="A19" s="13" t="str">
        <x:v>LC03</x:v>
      </x:c>
      <x:c r="B19" s="13" t="str">
        <x:v>공용</x:v>
      </x:c>
      <x:c r="C19" s="13" t="str">
        <x:v>꺼지지 않는 심장</x:v>
      </x:c>
      <x:c r="D19" s="13" t="str">
        <x:v>허리</x:v>
      </x:c>
      <x:c r="E19" s="24" t="n">
        <x:v>100</x:v>
      </x:c>
      <x:c r="F19" s="13" t="str">
        <x:v>HP20% 이하에서 물약 사용 시 최대HP25% 보호막3초</x:v>
      </x:c>
      <x:c r="G19" s="13" t="str">
        <x:v>내부CD20초 / 물약 자동사용은 기존 규칙에 따름</x:v>
      </x:c>
      <x:c r="H19" s="13" t="str">
        <x:v>물약 조건의 공격적·안정적 선택</x:v>
      </x:c>
    </x:row>
  </x:sheetData>
  <x:mergeCells>
    <x:mergeCell ref="A1:H1"/>
    <x:mergeCell ref="A2:H2"/>
  </x:mergeCells>
  <x:pageMargins left="0.7" right="0.7" top="0.75" bottom="0.75" header="0.3" footer="0.3"/>
  <x:tableParts count="1">
    <x:tablePart xmlns:r="http://schemas.openxmlformats.org/officeDocument/2006/relationships" r:id="R3d35b2de1db64d25"/>
  </x:tableParts>
</x:worksheet>
</file>

<file path=xl/worksheets/sheet11.xml><?xml version="1.0" encoding="utf-8"?>
<x:worksheet xmlns:x="http://schemas.openxmlformats.org/spreadsheetml/2006/main">
  <x:sheetFormatPr defaultRowHeight="15"/>
  <x:cols>
    <x:col min="1" max="1" width="12" hidden="0" customWidth="1"/>
    <x:col min="2" max="2" width="12" hidden="0" customWidth="1"/>
    <x:col min="3" max="3" width="24" hidden="0" customWidth="1"/>
    <x:col min="4" max="4" width="25" hidden="0" customWidth="1"/>
    <x:col min="5" max="5" width="14" hidden="0" customWidth="1"/>
    <x:col min="6" max="6" width="42" hidden="0" customWidth="1"/>
    <x:col min="7" max="7" width="42" hidden="0" customWidth="1"/>
    <x:col min="8" max="8" width="42" hidden="0" customWidth="1"/>
  </x:cols>
  <x:sheetData>
    <x:row r="1" ht="30" customHeight="1">
      <x:c r="A1" s="3" t="str">
        <x:v>HELLSCRIPT 0.1  |  세트3</x:v>
      </x:c>
      <x:c r="B1" s="3"/>
      <x:c r="C1" s="3"/>
      <x:c r="D1" s="3"/>
      <x:c r="E1" s="3"/>
      <x:c r="F1" s="3"/>
      <x:c r="G1" s="3"/>
      <x:c r="H1" s="3"/>
    </x:row>
    <x:row r="2" ht="38" customHeight="1">
      <x:c r="A2" s="8" t="str">
        <x:v>신규 설계: 테스트 초안. 실제 플레이 검증 전.</x:v>
      </x:c>
      <x:c r="B2" s="8"/>
      <x:c r="C2" s="8"/>
      <x:c r="D2" s="8"/>
      <x:c r="E2" s="8"/>
      <x:c r="F2" s="8"/>
      <x:c r="G2" s="8"/>
      <x:c r="H2" s="8"/>
    </x:row>
    <x:row r="4" ht="32" customHeight="1">
      <x:c r="A4" s="18" t="str">
        <x:v>ID</x:v>
      </x:c>
      <x:c r="B4" s="18" t="str">
        <x:v>직업</x:v>
      </x:c>
      <x:c r="C4" s="18" t="str">
        <x:v>세트명</x:v>
      </x:c>
      <x:c r="D4" s="18" t="str">
        <x:v>구성부위</x:v>
      </x:c>
      <x:c r="E4" s="18" t="str">
        <x:v>개별가중치</x:v>
      </x:c>
      <x:c r="F4" s="18" t="str">
        <x:v>2세트</x:v>
      </x:c>
      <x:c r="G4" s="18" t="str">
        <x:v>4세트</x:v>
      </x:c>
      <x:c r="H4" s="18" t="str">
        <x:v>제약</x:v>
      </x:c>
    </x:row>
    <x:row r="5" ht="76" customHeight="1">
      <x:c r="A5" s="13" t="str">
        <x:v>SW</x:v>
      </x:c>
      <x:c r="B5" s="13" t="str">
        <x:v>전사</x:v>
      </x:c>
      <x:c r="C5" s="13" t="str">
        <x:v>회오리 감시자</x:v>
      </x:c>
      <x:c r="D5" s="13" t="str">
        <x:v>머리/몸/손/발</x:v>
      </x:c>
      <x:c r="E5" s="13" t="n">
        <x:v>100</x:v>
      </x:c>
      <x:c r="F5" s="13" t="str">
        <x:v>휠윈드 자원 소모-15%</x:v>
      </x:c>
      <x:c r="G5" s="13" t="str">
        <x:v>휠윈드 중 이동4m마다 다음 도약에 반경3m D180% 추가 충격파</x:v>
      </x:c>
      <x:c r="H5" s="13" t="str">
        <x:v>1회 충전·6초 유지 / 이동거리4m 소모 / 제자리회전은 거리0</x:v>
      </x:c>
    </x:row>
    <x:row r="6" ht="76" customHeight="1">
      <x:c r="A6" s="13" t="str">
        <x:v>SA</x:v>
      </x:c>
      <x:c r="B6" s="13" t="str">
        <x:v>궁수</x:v>
      </x:c>
      <x:c r="C6" s="13" t="str">
        <x:v>독무덤지기</x:v>
      </x:c>
      <x:c r="D6" s="13" t="str">
        <x:v>머리/몸/손/발</x:v>
      </x:c>
      <x:c r="E6" s="13" t="n">
        <x:v>100</x:v>
      </x:c>
      <x:c r="F6" s="13" t="str">
        <x:v>맹독 덫 반경+0.5m</x:v>
      </x:c>
      <x:c r="G6" s="13" t="str">
        <x:v>덫으로 중독된 적을 관통 사격으로 맞히면 3초간 초당D80% 추가 독피해</x:v>
      </x:c>
      <x:c r="H6" s="13" t="str">
        <x:v>대상당1중첩 / 재적중은 시간 갱신 / 자체 재발동 없음</x:v>
      </x:c>
    </x:row>
    <x:row r="7" ht="76" customHeight="1">
      <x:c r="A7" s="13" t="str">
        <x:v>SM</x:v>
      </x:c>
      <x:c r="B7" s="13" t="str">
        <x:v>마법사</x:v>
      </x:c>
      <x:c r="C7" s="13" t="str">
        <x:v>겨울의 서약</x:v>
      </x:c>
      <x:c r="D7" s="13" t="str">
        <x:v>머리/몸/손/발</x:v>
      </x:c>
      <x:c r="E7" s="13" t="n">
        <x:v>100</x:v>
      </x:c>
      <x:c r="F7" s="13" t="str">
        <x:v>눈보라 자원 소모-20%</x:v>
      </x:c>
      <x:c r="G7" s="13" t="str">
        <x:v>눈보라에 누적2초 노출된 적에게 다음 화염구가 D100% 냉기 추가피해</x:v>
      </x:c>
      <x:c r="H7" s="13" t="str">
        <x:v>노출 표식4초 / 소비 후 대상별 재생성CD3초 / 보스도 노출 가능</x:v>
      </x:c>
    </x:row>
  </x:sheetData>
  <x:mergeCells>
    <x:mergeCell ref="A1:H1"/>
    <x:mergeCell ref="A2:H2"/>
  </x:mergeCells>
  <x:pageMargins left="0.7" right="0.7" top="0.75" bottom="0.75" header="0.3" footer="0.3"/>
  <x:tableParts count="1">
    <x:tablePart xmlns:r="http://schemas.openxmlformats.org/officeDocument/2006/relationships" r:id="R7e092d00f66746dd"/>
  </x:tableParts>
</x:worksheet>
</file>

<file path=xl/worksheets/sheet12.xml><?xml version="1.0" encoding="utf-8"?>
<x:worksheet xmlns:x="http://schemas.openxmlformats.org/spreadsheetml/2006/main">
  <x:sheetFormatPr defaultRowHeight="15"/>
  <x:cols>
    <x:col min="1" max="1" width="12" hidden="0" customWidth="1"/>
    <x:col min="2" max="2" width="12" hidden="0" customWidth="1"/>
    <x:col min="3" max="3" width="12" hidden="0" customWidth="1"/>
    <x:col min="4" max="4" width="33" hidden="0" customWidth="1"/>
    <x:col min="5" max="5" width="12" hidden="0" customWidth="1"/>
    <x:col min="6" max="6" width="12" hidden="0" customWidth="1"/>
    <x:col min="7" max="7" width="12" hidden="0" customWidth="1"/>
    <x:col min="8" max="8" width="42" hidden="0" customWidth="1"/>
  </x:cols>
  <x:sheetData>
    <x:row r="1" ht="30" customHeight="1">
      <x:c r="A1" s="3" t="str">
        <x:v>HELLSCRIPT 0.1  |  세트장비12</x:v>
      </x:c>
      <x:c r="B1" s="3"/>
      <x:c r="C1" s="3"/>
      <x:c r="D1" s="3"/>
      <x:c r="E1" s="3"/>
      <x:c r="F1" s="3"/>
      <x:c r="G1" s="3"/>
      <x:c r="H1" s="3"/>
    </x:row>
    <x:row r="2" ht="38" customHeight="1">
      <x:c r="A2" s="8" t="str">
        <x:v>신규 설계: 테스트 초안. 실제 플레이 검증 전.</x:v>
      </x:c>
      <x:c r="B2" s="8"/>
      <x:c r="C2" s="8"/>
      <x:c r="D2" s="8"/>
      <x:c r="E2" s="8"/>
      <x:c r="F2" s="8"/>
      <x:c r="G2" s="8"/>
      <x:c r="H2" s="8"/>
    </x:row>
    <x:row r="4" ht="32" customHeight="1">
      <x:c r="A4" s="18" t="str">
        <x:v>ID</x:v>
      </x:c>
      <x:c r="B4" s="18" t="str">
        <x:v>세트ID</x:v>
      </x:c>
      <x:c r="C4" s="18" t="str">
        <x:v>직업</x:v>
      </x:c>
      <x:c r="D4" s="18" t="str">
        <x:v>아이템명</x:v>
      </x:c>
      <x:c r="E4" s="18" t="str">
        <x:v>부위</x:v>
      </x:c>
      <x:c r="F4" s="18" t="str">
        <x:v>가중치</x:v>
      </x:c>
      <x:c r="G4" s="18" t="str">
        <x:v>등급</x:v>
      </x:c>
      <x:c r="H4" s="18" t="str">
        <x:v>구조</x:v>
      </x:c>
    </x:row>
    <x:row r="5" ht="76" customHeight="1">
      <x:c r="A5" s="13" t="str">
        <x:v>SW1</x:v>
      </x:c>
      <x:c r="B5" s="13" t="str">
        <x:v>SW</x:v>
      </x:c>
      <x:c r="C5" s="13" t="str">
        <x:v>전사</x:v>
      </x:c>
      <x:c r="D5" s="13" t="str">
        <x:v>회오리 감시자의 관</x:v>
      </x:c>
      <x:c r="E5" s="13" t="str">
        <x:v>머리</x:v>
      </x:c>
      <x:c r="F5" s="13" t="n">
        <x:v>100</x:v>
      </x:c>
      <x:c r="G5" s="13" t="str">
        <x:v>전설</x:v>
      </x:c>
      <x:c r="H5" s="13" t="str">
        <x:v>개별 특수효과 없음; 랜덤옵션4개+세트 소속</x:v>
      </x:c>
    </x:row>
    <x:row r="6" ht="76" customHeight="1">
      <x:c r="A6" s="13" t="str">
        <x:v>SW2</x:v>
      </x:c>
      <x:c r="B6" s="13" t="str">
        <x:v>SW</x:v>
      </x:c>
      <x:c r="C6" s="13" t="str">
        <x:v>전사</x:v>
      </x:c>
      <x:c r="D6" s="13" t="str">
        <x:v>회오리 감시자의 갑옷</x:v>
      </x:c>
      <x:c r="E6" s="13" t="str">
        <x:v>몸</x:v>
      </x:c>
      <x:c r="F6" s="13" t="n">
        <x:v>100</x:v>
      </x:c>
      <x:c r="G6" s="13" t="str">
        <x:v>전설</x:v>
      </x:c>
      <x:c r="H6" s="13" t="str">
        <x:v>개별 특수효과 없음; 랜덤옵션4개+세트 소속</x:v>
      </x:c>
    </x:row>
    <x:row r="7" ht="76" customHeight="1">
      <x:c r="A7" s="13" t="str">
        <x:v>SW3</x:v>
      </x:c>
      <x:c r="B7" s="13" t="str">
        <x:v>SW</x:v>
      </x:c>
      <x:c r="C7" s="13" t="str">
        <x:v>전사</x:v>
      </x:c>
      <x:c r="D7" s="13" t="str">
        <x:v>회오리 감시자의 손아귀</x:v>
      </x:c>
      <x:c r="E7" s="13" t="str">
        <x:v>손</x:v>
      </x:c>
      <x:c r="F7" s="13" t="n">
        <x:v>100</x:v>
      </x:c>
      <x:c r="G7" s="13" t="str">
        <x:v>전설</x:v>
      </x:c>
      <x:c r="H7" s="13" t="str">
        <x:v>개별 특수효과 없음; 랜덤옵션4개+세트 소속</x:v>
      </x:c>
    </x:row>
    <x:row r="8" ht="76" customHeight="1">
      <x:c r="A8" s="13" t="str">
        <x:v>SW4</x:v>
      </x:c>
      <x:c r="B8" s="13" t="str">
        <x:v>SW</x:v>
      </x:c>
      <x:c r="C8" s="13" t="str">
        <x:v>전사</x:v>
      </x:c>
      <x:c r="D8" s="13" t="str">
        <x:v>회오리 감시자의 걸음</x:v>
      </x:c>
      <x:c r="E8" s="13" t="str">
        <x:v>발</x:v>
      </x:c>
      <x:c r="F8" s="13" t="n">
        <x:v>100</x:v>
      </x:c>
      <x:c r="G8" s="13" t="str">
        <x:v>전설</x:v>
      </x:c>
      <x:c r="H8" s="13" t="str">
        <x:v>개별 특수효과 없음; 랜덤옵션4개+세트 소속</x:v>
      </x:c>
    </x:row>
    <x:row r="9" ht="76" customHeight="1">
      <x:c r="A9" s="13" t="str">
        <x:v>SA1</x:v>
      </x:c>
      <x:c r="B9" s="13" t="str">
        <x:v>SA</x:v>
      </x:c>
      <x:c r="C9" s="13" t="str">
        <x:v>궁수</x:v>
      </x:c>
      <x:c r="D9" s="13" t="str">
        <x:v>독무덤지기의 관</x:v>
      </x:c>
      <x:c r="E9" s="13" t="str">
        <x:v>머리</x:v>
      </x:c>
      <x:c r="F9" s="13" t="n">
        <x:v>100</x:v>
      </x:c>
      <x:c r="G9" s="13" t="str">
        <x:v>전설</x:v>
      </x:c>
      <x:c r="H9" s="13" t="str">
        <x:v>개별 특수효과 없음; 랜덤옵션4개+세트 소속</x:v>
      </x:c>
    </x:row>
    <x:row r="10" ht="76" customHeight="1">
      <x:c r="A10" s="13" t="str">
        <x:v>SA2</x:v>
      </x:c>
      <x:c r="B10" s="13" t="str">
        <x:v>SA</x:v>
      </x:c>
      <x:c r="C10" s="13" t="str">
        <x:v>궁수</x:v>
      </x:c>
      <x:c r="D10" s="13" t="str">
        <x:v>독무덤지기의 갑옷</x:v>
      </x:c>
      <x:c r="E10" s="13" t="str">
        <x:v>몸</x:v>
      </x:c>
      <x:c r="F10" s="13" t="n">
        <x:v>100</x:v>
      </x:c>
      <x:c r="G10" s="13" t="str">
        <x:v>전설</x:v>
      </x:c>
      <x:c r="H10" s="13" t="str">
        <x:v>개별 특수효과 없음; 랜덤옵션4개+세트 소속</x:v>
      </x:c>
    </x:row>
    <x:row r="11" ht="76" customHeight="1">
      <x:c r="A11" s="13" t="str">
        <x:v>SA3</x:v>
      </x:c>
      <x:c r="B11" s="13" t="str">
        <x:v>SA</x:v>
      </x:c>
      <x:c r="C11" s="13" t="str">
        <x:v>궁수</x:v>
      </x:c>
      <x:c r="D11" s="13" t="str">
        <x:v>독무덤지기의 손아귀</x:v>
      </x:c>
      <x:c r="E11" s="13" t="str">
        <x:v>손</x:v>
      </x:c>
      <x:c r="F11" s="13" t="n">
        <x:v>100</x:v>
      </x:c>
      <x:c r="G11" s="13" t="str">
        <x:v>전설</x:v>
      </x:c>
      <x:c r="H11" s="13" t="str">
        <x:v>개별 특수효과 없음; 랜덤옵션4개+세트 소속</x:v>
      </x:c>
    </x:row>
    <x:row r="12" ht="76" customHeight="1">
      <x:c r="A12" s="13" t="str">
        <x:v>SA4</x:v>
      </x:c>
      <x:c r="B12" s="13" t="str">
        <x:v>SA</x:v>
      </x:c>
      <x:c r="C12" s="13" t="str">
        <x:v>궁수</x:v>
      </x:c>
      <x:c r="D12" s="13" t="str">
        <x:v>독무덤지기의 걸음</x:v>
      </x:c>
      <x:c r="E12" s="13" t="str">
        <x:v>발</x:v>
      </x:c>
      <x:c r="F12" s="13" t="n">
        <x:v>100</x:v>
      </x:c>
      <x:c r="G12" s="13" t="str">
        <x:v>전설</x:v>
      </x:c>
      <x:c r="H12" s="13" t="str">
        <x:v>개별 특수효과 없음; 랜덤옵션4개+세트 소속</x:v>
      </x:c>
    </x:row>
    <x:row r="13" ht="76" customHeight="1">
      <x:c r="A13" s="13" t="str">
        <x:v>SM1</x:v>
      </x:c>
      <x:c r="B13" s="13" t="str">
        <x:v>SM</x:v>
      </x:c>
      <x:c r="C13" s="13" t="str">
        <x:v>마법사</x:v>
      </x:c>
      <x:c r="D13" s="13" t="str">
        <x:v>겨울의 서약의 관</x:v>
      </x:c>
      <x:c r="E13" s="13" t="str">
        <x:v>머리</x:v>
      </x:c>
      <x:c r="F13" s="13" t="n">
        <x:v>100</x:v>
      </x:c>
      <x:c r="G13" s="13" t="str">
        <x:v>전설</x:v>
      </x:c>
      <x:c r="H13" s="13" t="str">
        <x:v>개별 특수효과 없음; 랜덤옵션4개+세트 소속</x:v>
      </x:c>
    </x:row>
    <x:row r="14" ht="76" customHeight="1">
      <x:c r="A14" s="13" t="str">
        <x:v>SM2</x:v>
      </x:c>
      <x:c r="B14" s="13" t="str">
        <x:v>SM</x:v>
      </x:c>
      <x:c r="C14" s="13" t="str">
        <x:v>마법사</x:v>
      </x:c>
      <x:c r="D14" s="13" t="str">
        <x:v>겨울의 서약의 갑옷</x:v>
      </x:c>
      <x:c r="E14" s="13" t="str">
        <x:v>몸</x:v>
      </x:c>
      <x:c r="F14" s="13" t="n">
        <x:v>100</x:v>
      </x:c>
      <x:c r="G14" s="13" t="str">
        <x:v>전설</x:v>
      </x:c>
      <x:c r="H14" s="13" t="str">
        <x:v>개별 특수효과 없음; 랜덤옵션4개+세트 소속</x:v>
      </x:c>
    </x:row>
    <x:row r="15" ht="76" customHeight="1">
      <x:c r="A15" s="13" t="str">
        <x:v>SM3</x:v>
      </x:c>
      <x:c r="B15" s="13" t="str">
        <x:v>SM</x:v>
      </x:c>
      <x:c r="C15" s="13" t="str">
        <x:v>마법사</x:v>
      </x:c>
      <x:c r="D15" s="13" t="str">
        <x:v>겨울의 서약의 손아귀</x:v>
      </x:c>
      <x:c r="E15" s="13" t="str">
        <x:v>손</x:v>
      </x:c>
      <x:c r="F15" s="13" t="n">
        <x:v>100</x:v>
      </x:c>
      <x:c r="G15" s="13" t="str">
        <x:v>전설</x:v>
      </x:c>
      <x:c r="H15" s="13" t="str">
        <x:v>개별 특수효과 없음; 랜덤옵션4개+세트 소속</x:v>
      </x:c>
    </x:row>
    <x:row r="16" ht="76" customHeight="1">
      <x:c r="A16" s="13" t="str">
        <x:v>SM4</x:v>
      </x:c>
      <x:c r="B16" s="13" t="str">
        <x:v>SM</x:v>
      </x:c>
      <x:c r="C16" s="13" t="str">
        <x:v>마법사</x:v>
      </x:c>
      <x:c r="D16" s="13" t="str">
        <x:v>겨울의 서약의 걸음</x:v>
      </x:c>
      <x:c r="E16" s="13" t="str">
        <x:v>발</x:v>
      </x:c>
      <x:c r="F16" s="13" t="n">
        <x:v>100</x:v>
      </x:c>
      <x:c r="G16" s="13" t="str">
        <x:v>전설</x:v>
      </x:c>
      <x:c r="H16" s="13" t="str">
        <x:v>개별 특수효과 없음; 랜덤옵션4개+세트 소속</x:v>
      </x:c>
    </x:row>
  </x:sheetData>
  <x:mergeCells>
    <x:mergeCell ref="A1:H1"/>
    <x:mergeCell ref="A2:H2"/>
  </x:mergeCells>
  <x:pageMargins left="0.7" right="0.7" top="0.75" bottom="0.75" header="0.3" footer="0.3"/>
  <x:tableParts count="1">
    <x:tablePart xmlns:r="http://schemas.openxmlformats.org/officeDocument/2006/relationships" r:id="R9b9608bed6dd4640"/>
  </x:tableParts>
</x:worksheet>
</file>

<file path=xl/worksheets/sheet13.xml><?xml version="1.0" encoding="utf-8"?>
<x:worksheet xmlns:x="http://schemas.openxmlformats.org/spreadsheetml/2006/main">
  <x:sheetFormatPr defaultRowHeight="15"/>
  <x:cols>
    <x:col min="1" max="1" width="12" hidden="0" customWidth="1"/>
    <x:col min="2" max="2" width="25" hidden="0" customWidth="1"/>
    <x:col min="3" max="3" width="12" hidden="0" customWidth="1"/>
    <x:col min="4" max="4" width="12" hidden="0" customWidth="1"/>
    <x:col min="5" max="5" width="12" hidden="0" customWidth="1"/>
    <x:col min="6" max="6" width="14" hidden="0" customWidth="1"/>
    <x:col min="7" max="7" width="42" hidden="0" customWidth="1"/>
  </x:cols>
  <x:sheetData>
    <x:row r="1" ht="30" customHeight="1">
      <x:c r="A1" s="3" t="str">
        <x:v>HELLSCRIPT 0.1  |  옵션24</x:v>
      </x:c>
      <x:c r="B1" s="3"/>
      <x:c r="C1" s="3"/>
      <x:c r="D1" s="3"/>
      <x:c r="E1" s="3"/>
      <x:c r="F1" s="3"/>
      <x:c r="G1" s="3"/>
    </x:row>
    <x:row r="2" ht="38" customHeight="1">
      <x:c r="A2" s="8" t="str">
        <x:v>테스트 초안. 수치는 아이템레벨30 기준. 같은 ID 중복 추첨 금지. 평면형만 레벨 배율.</x:v>
      </x:c>
      <x:c r="B2" s="8"/>
      <x:c r="C2" s="8"/>
      <x:c r="D2" s="8"/>
      <x:c r="E2" s="8"/>
      <x:c r="F2" s="8"/>
      <x:c r="G2" s="8"/>
    </x:row>
    <x:row r="4" ht="32" customHeight="1">
      <x:c r="A4" s="18" t="str">
        <x:v>ID</x:v>
      </x:c>
      <x:c r="B4" s="18" t="str">
        <x:v>옵션</x:v>
      </x:c>
      <x:c r="C4" s="18" t="str">
        <x:v>최소값</x:v>
      </x:c>
      <x:c r="D4" s="18" t="str">
        <x:v>최대값</x:v>
      </x:c>
      <x:c r="E4" s="18" t="str">
        <x:v>단위</x:v>
      </x:c>
      <x:c r="F4" s="18" t="str">
        <x:v>성장유형</x:v>
      </x:c>
      <x:c r="G4" s="18" t="str">
        <x:v>허용부위</x:v>
      </x:c>
    </x:row>
    <x:row r="5" ht="76" customHeight="1">
      <x:c r="A5" s="13" t="str">
        <x:v>AF01</x:v>
      </x:c>
      <x:c r="B5" s="13" t="str">
        <x:v>최대HP</x:v>
      </x:c>
      <x:c r="C5" s="13" t="n">
        <x:v>40</x:v>
      </x:c>
      <x:c r="D5" s="13" t="n">
        <x:v>100</x:v>
      </x:c>
      <x:c r="E5" s="13" t="str">
        <x:v>점</x:v>
      </x:c>
      <x:c r="F5" s="13" t="str">
        <x:v>평면</x:v>
      </x:c>
      <x:c r="G5" s="13" t="str">
        <x:v>머리/몸/허리/목걸이/반지</x:v>
      </x:c>
    </x:row>
    <x:row r="6" ht="76" customHeight="1">
      <x:c r="A6" s="13" t="str">
        <x:v>AF02</x:v>
      </x:c>
      <x:c r="B6" s="13" t="str">
        <x:v>최대HP</x:v>
      </x:c>
      <x:c r="C6" s="13" t="n">
        <x:v>3</x:v>
      </x:c>
      <x:c r="D6" s="13" t="n">
        <x:v>8</x:v>
      </x:c>
      <x:c r="E6" s="13" t="str">
        <x:v>%</x:v>
      </x:c>
      <x:c r="F6" s="13" t="str">
        <x:v>비율</x:v>
      </x:c>
      <x:c r="G6" s="13" t="str">
        <x:v>머리/몸/허리</x:v>
      </x:c>
    </x:row>
    <x:row r="7" ht="76" customHeight="1">
      <x:c r="A7" s="13" t="str">
        <x:v>AF03</x:v>
      </x:c>
      <x:c r="B7" s="13" t="str">
        <x:v>방어도</x:v>
      </x:c>
      <x:c r="C7" s="13" t="n">
        <x:v>25</x:v>
      </x:c>
      <x:c r="D7" s="13" t="n">
        <x:v>60</x:v>
      </x:c>
      <x:c r="E7" s="13" t="str">
        <x:v>점</x:v>
      </x:c>
      <x:c r="F7" s="13" t="str">
        <x:v>평면</x:v>
      </x:c>
      <x:c r="G7" s="13" t="str">
        <x:v>머리/몸/손/발/허리</x:v>
      </x:c>
    </x:row>
    <x:row r="8" ht="76" customHeight="1">
      <x:c r="A8" s="13" t="str">
        <x:v>AF04</x:v>
      </x:c>
      <x:c r="B8" s="13" t="str">
        <x:v>모든 비물리 저항</x:v>
      </x:c>
      <x:c r="C8" s="13" t="n">
        <x:v>15</x:v>
      </x:c>
      <x:c r="D8" s="13" t="n">
        <x:v>35</x:v>
      </x:c>
      <x:c r="E8" s="13" t="str">
        <x:v>점</x:v>
      </x:c>
      <x:c r="F8" s="13" t="str">
        <x:v>평면</x:v>
      </x:c>
      <x:c r="G8" s="13" t="str">
        <x:v>머리/몸/허리/목걸이/반지</x:v>
      </x:c>
    </x:row>
    <x:row r="9" ht="76" customHeight="1">
      <x:c r="A9" s="13" t="str">
        <x:v>AF05</x:v>
      </x:c>
      <x:c r="B9" s="13" t="str">
        <x:v>물리 피해</x:v>
      </x:c>
      <x:c r="C9" s="13" t="n">
        <x:v>3</x:v>
      </x:c>
      <x:c r="D9" s="13" t="n">
        <x:v>8</x:v>
      </x:c>
      <x:c r="E9" s="13" t="str">
        <x:v>%</x:v>
      </x:c>
      <x:c r="F9" s="13" t="str">
        <x:v>비율</x:v>
      </x:c>
      <x:c r="G9" s="13" t="str">
        <x:v>무기/손/목걸이/반지</x:v>
      </x:c>
    </x:row>
    <x:row r="10" ht="76" customHeight="1">
      <x:c r="A10" s="13" t="str">
        <x:v>AF06</x:v>
      </x:c>
      <x:c r="B10" s="13" t="str">
        <x:v>화염 피해</x:v>
      </x:c>
      <x:c r="C10" s="13" t="n">
        <x:v>3</x:v>
      </x:c>
      <x:c r="D10" s="13" t="n">
        <x:v>8</x:v>
      </x:c>
      <x:c r="E10" s="13" t="str">
        <x:v>%</x:v>
      </x:c>
      <x:c r="F10" s="13" t="str">
        <x:v>비율</x:v>
      </x:c>
      <x:c r="G10" s="13" t="str">
        <x:v>무기/손/목걸이/반지</x:v>
      </x:c>
    </x:row>
    <x:row r="11" ht="76" customHeight="1">
      <x:c r="A11" s="13" t="str">
        <x:v>AF07</x:v>
      </x:c>
      <x:c r="B11" s="13" t="str">
        <x:v>냉기 피해</x:v>
      </x:c>
      <x:c r="C11" s="13" t="n">
        <x:v>3</x:v>
      </x:c>
      <x:c r="D11" s="13" t="n">
        <x:v>8</x:v>
      </x:c>
      <x:c r="E11" s="13" t="str">
        <x:v>%</x:v>
      </x:c>
      <x:c r="F11" s="13" t="str">
        <x:v>비율</x:v>
      </x:c>
      <x:c r="G11" s="13" t="str">
        <x:v>무기/손/목걸이/반지</x:v>
      </x:c>
    </x:row>
    <x:row r="12" ht="76" customHeight="1">
      <x:c r="A12" s="13" t="str">
        <x:v>AF08</x:v>
      </x:c>
      <x:c r="B12" s="13" t="str">
        <x:v>번개 피해</x:v>
      </x:c>
      <x:c r="C12" s="13" t="n">
        <x:v>3</x:v>
      </x:c>
      <x:c r="D12" s="13" t="n">
        <x:v>8</x:v>
      </x:c>
      <x:c r="E12" s="13" t="str">
        <x:v>%</x:v>
      </x:c>
      <x:c r="F12" s="13" t="str">
        <x:v>비율</x:v>
      </x:c>
      <x:c r="G12" s="13" t="str">
        <x:v>무기/손/목걸이/반지</x:v>
      </x:c>
    </x:row>
    <x:row r="13" ht="76" customHeight="1">
      <x:c r="A13" s="13" t="str">
        <x:v>AF09</x:v>
      </x:c>
      <x:c r="B13" s="13" t="str">
        <x:v>독 피해</x:v>
      </x:c>
      <x:c r="C13" s="13" t="n">
        <x:v>3</x:v>
      </x:c>
      <x:c r="D13" s="13" t="n">
        <x:v>8</x:v>
      </x:c>
      <x:c r="E13" s="13" t="str">
        <x:v>%</x:v>
      </x:c>
      <x:c r="F13" s="13" t="str">
        <x:v>비율</x:v>
      </x:c>
      <x:c r="G13" s="13" t="str">
        <x:v>무기/손/목걸이/반지</x:v>
      </x:c>
    </x:row>
    <x:row r="14" ht="76" customHeight="1">
      <x:c r="A14" s="13" t="str">
        <x:v>AF10</x:v>
      </x:c>
      <x:c r="B14" s="13" t="str">
        <x:v>암흑 피해</x:v>
      </x:c>
      <x:c r="C14" s="13" t="n">
        <x:v>3</x:v>
      </x:c>
      <x:c r="D14" s="13" t="n">
        <x:v>8</x:v>
      </x:c>
      <x:c r="E14" s="13" t="str">
        <x:v>%</x:v>
      </x:c>
      <x:c r="F14" s="13" t="str">
        <x:v>비율</x:v>
      </x:c>
      <x:c r="G14" s="13" t="str">
        <x:v>무기/손/목걸이/반지</x:v>
      </x:c>
    </x:row>
    <x:row r="15" ht="76" customHeight="1">
      <x:c r="A15" s="13" t="str">
        <x:v>AF11</x:v>
      </x:c>
      <x:c r="B15" s="13" t="str">
        <x:v>힘</x:v>
      </x:c>
      <x:c r="C15" s="13" t="n">
        <x:v>10</x:v>
      </x:c>
      <x:c r="D15" s="13" t="n">
        <x:v>25</x:v>
      </x:c>
      <x:c r="E15" s="13" t="str">
        <x:v>점</x:v>
      </x:c>
      <x:c r="F15" s="13" t="str">
        <x:v>평면</x:v>
      </x:c>
      <x:c r="G15" s="13" t="str">
        <x:v>무기/머리/몸/손/발/허리/목걸이/반지</x:v>
      </x:c>
    </x:row>
    <x:row r="16" ht="76" customHeight="1">
      <x:c r="A16" s="13" t="str">
        <x:v>AF12</x:v>
      </x:c>
      <x:c r="B16" s="13" t="str">
        <x:v>민첩</x:v>
      </x:c>
      <x:c r="C16" s="13" t="n">
        <x:v>10</x:v>
      </x:c>
      <x:c r="D16" s="13" t="n">
        <x:v>25</x:v>
      </x:c>
      <x:c r="E16" s="13" t="str">
        <x:v>점</x:v>
      </x:c>
      <x:c r="F16" s="13" t="str">
        <x:v>평면</x:v>
      </x:c>
      <x:c r="G16" s="13" t="str">
        <x:v>무기/머리/몸/손/발/허리/목걸이/반지</x:v>
      </x:c>
    </x:row>
    <x:row r="17" ht="76" customHeight="1">
      <x:c r="A17" s="13" t="str">
        <x:v>AF13</x:v>
      </x:c>
      <x:c r="B17" s="13" t="str">
        <x:v>지능</x:v>
      </x:c>
      <x:c r="C17" s="13" t="n">
        <x:v>10</x:v>
      </x:c>
      <x:c r="D17" s="13" t="n">
        <x:v>25</x:v>
      </x:c>
      <x:c r="E17" s="13" t="str">
        <x:v>점</x:v>
      </x:c>
      <x:c r="F17" s="13" t="str">
        <x:v>평면</x:v>
      </x:c>
      <x:c r="G17" s="13" t="str">
        <x:v>무기/머리/몸/손/발/허리/목걸이/반지</x:v>
      </x:c>
    </x:row>
    <x:row r="18" ht="76" customHeight="1">
      <x:c r="A18" s="13" t="str">
        <x:v>AF14</x:v>
      </x:c>
      <x:c r="B18" s="13" t="str">
        <x:v>의지</x:v>
      </x:c>
      <x:c r="C18" s="13" t="n">
        <x:v>10</x:v>
      </x:c>
      <x:c r="D18" s="13" t="n">
        <x:v>25</x:v>
      </x:c>
      <x:c r="E18" s="13" t="str">
        <x:v>점</x:v>
      </x:c>
      <x:c r="F18" s="13" t="str">
        <x:v>평면</x:v>
      </x:c>
      <x:c r="G18" s="13" t="str">
        <x:v>무기/머리/몸/손/발/허리/목걸이/반지</x:v>
      </x:c>
    </x:row>
    <x:row r="19" ht="76" customHeight="1">
      <x:c r="A19" s="13" t="str">
        <x:v>AF15</x:v>
      </x:c>
      <x:c r="B19" s="13" t="str">
        <x:v>모든 기본능력</x:v>
      </x:c>
      <x:c r="C19" s="13" t="n">
        <x:v>3</x:v>
      </x:c>
      <x:c r="D19" s="13" t="n">
        <x:v>8</x:v>
      </x:c>
      <x:c r="E19" s="13" t="str">
        <x:v>점</x:v>
      </x:c>
      <x:c r="F19" s="13" t="str">
        <x:v>평면</x:v>
      </x:c>
      <x:c r="G19" s="13" t="str">
        <x:v>목걸이/반지</x:v>
      </x:c>
    </x:row>
    <x:row r="20" ht="76" customHeight="1">
      <x:c r="A20" s="13" t="str">
        <x:v>AF16</x:v>
      </x:c>
      <x:c r="B20" s="13" t="str">
        <x:v>치명 확률</x:v>
      </x:c>
      <x:c r="C20" s="13" t="n">
        <x:v>2</x:v>
      </x:c>
      <x:c r="D20" s="13" t="n">
        <x:v>4</x:v>
      </x:c>
      <x:c r="E20" s="13" t="str">
        <x:v>%p</x:v>
      </x:c>
      <x:c r="F20" s="13" t="str">
        <x:v>비율</x:v>
      </x:c>
      <x:c r="G20" s="13" t="str">
        <x:v>무기/손/목걸이/반지</x:v>
      </x:c>
    </x:row>
    <x:row r="21" ht="76" customHeight="1">
      <x:c r="A21" s="13" t="str">
        <x:v>AF17</x:v>
      </x:c>
      <x:c r="B21" s="13" t="str">
        <x:v>치명 추가피해</x:v>
      </x:c>
      <x:c r="C21" s="13" t="n">
        <x:v>5</x:v>
      </x:c>
      <x:c r="D21" s="13" t="n">
        <x:v>12</x:v>
      </x:c>
      <x:c r="E21" s="13" t="str">
        <x:v>%p</x:v>
      </x:c>
      <x:c r="F21" s="13" t="str">
        <x:v>비율</x:v>
      </x:c>
      <x:c r="G21" s="13" t="str">
        <x:v>무기/손/목걸이/반지</x:v>
      </x:c>
    </x:row>
    <x:row r="22" ht="76" customHeight="1">
      <x:c r="A22" s="13" t="str">
        <x:v>AF18</x:v>
      </x:c>
      <x:c r="B22" s="13" t="str">
        <x:v>공격속도</x:v>
      </x:c>
      <x:c r="C22" s="13" t="n">
        <x:v>3</x:v>
      </x:c>
      <x:c r="D22" s="13" t="n">
        <x:v>8</x:v>
      </x:c>
      <x:c r="E22" s="13" t="str">
        <x:v>%</x:v>
      </x:c>
      <x:c r="F22" s="13" t="str">
        <x:v>비율</x:v>
      </x:c>
      <x:c r="G22" s="13" t="str">
        <x:v>무기/손/반지</x:v>
      </x:c>
    </x:row>
    <x:row r="23" ht="76" customHeight="1">
      <x:c r="A23" s="13" t="str">
        <x:v>AF19</x:v>
      </x:c>
      <x:c r="B23" s="13" t="str">
        <x:v>쿨타임 감소</x:v>
      </x:c>
      <x:c r="C23" s="13" t="n">
        <x:v>3</x:v>
      </x:c>
      <x:c r="D23" s="13" t="n">
        <x:v>6</x:v>
      </x:c>
      <x:c r="E23" s="13" t="str">
        <x:v>%</x:v>
      </x:c>
      <x:c r="F23" s="13" t="str">
        <x:v>비율</x:v>
      </x:c>
      <x:c r="G23" s="13" t="str">
        <x:v>머리/손/목걸이</x:v>
      </x:c>
    </x:row>
    <x:row r="24" ht="76" customHeight="1">
      <x:c r="A24" s="13" t="str">
        <x:v>AF20</x:v>
      </x:c>
      <x:c r="B24" s="13" t="str">
        <x:v>자원 소모 감소</x:v>
      </x:c>
      <x:c r="C24" s="13" t="n">
        <x:v>3</x:v>
      </x:c>
      <x:c r="D24" s="13" t="n">
        <x:v>6</x:v>
      </x:c>
      <x:c r="E24" s="13" t="str">
        <x:v>%</x:v>
      </x:c>
      <x:c r="F24" s="13" t="str">
        <x:v>비율</x:v>
      </x:c>
      <x:c r="G24" s="13" t="str">
        <x:v>머리/허리/목걸이</x:v>
      </x:c>
    </x:row>
    <x:row r="25" ht="76" customHeight="1">
      <x:c r="A25" s="13" t="str">
        <x:v>AF21</x:v>
      </x:c>
      <x:c r="B25" s="13" t="str">
        <x:v>초당 자원회복</x:v>
      </x:c>
      <x:c r="C25" s="13" t="n">
        <x:v>1</x:v>
      </x:c>
      <x:c r="D25" s="13" t="n">
        <x:v>3</x:v>
      </x:c>
      <x:c r="E25" s="13" t="str">
        <x:v>점/초</x:v>
      </x:c>
      <x:c r="F25" s="13" t="str">
        <x:v>평면</x:v>
      </x:c>
      <x:c r="G25" s="13" t="str">
        <x:v>머리/허리/반지</x:v>
      </x:c>
    </x:row>
    <x:row r="26" ht="76" customHeight="1">
      <x:c r="A26" s="13" t="str">
        <x:v>AF22</x:v>
      </x:c>
      <x:c r="B26" s="13" t="str">
        <x:v>이동속도</x:v>
      </x:c>
      <x:c r="C26" s="13" t="n">
        <x:v>3</x:v>
      </x:c>
      <x:c r="D26" s="13" t="n">
        <x:v>6</x:v>
      </x:c>
      <x:c r="E26" s="13" t="str">
        <x:v>%</x:v>
      </x:c>
      <x:c r="F26" s="13" t="str">
        <x:v>비율</x:v>
      </x:c>
      <x:c r="G26" s="13" t="str">
        <x:v>발/목걸이</x:v>
      </x:c>
    </x:row>
    <x:row r="27" ht="76" customHeight="1">
      <x:c r="A27" s="13" t="str">
        <x:v>AF23</x:v>
      </x:c>
      <x:c r="B27" s="13" t="str">
        <x:v>획득 반경</x:v>
      </x:c>
      <x:c r="C27" s="13" t="n">
        <x:v>0.5</x:v>
      </x:c>
      <x:c r="D27" s="13" t="n">
        <x:v>1.5</x:v>
      </x:c>
      <x:c r="E27" s="13" t="str">
        <x:v>m</x:v>
      </x:c>
      <x:c r="F27" s="13" t="str">
        <x:v>거리</x:v>
      </x:c>
      <x:c r="G27" s="13" t="str">
        <x:v>발/허리/반지</x:v>
      </x:c>
    </x:row>
    <x:row r="28" ht="76" customHeight="1">
      <x:c r="A28" s="13" t="str">
        <x:v>AF24</x:v>
      </x:c>
      <x:c r="B28" s="13" t="str">
        <x:v>받는 회복량</x:v>
      </x:c>
      <x:c r="C28" s="13" t="n">
        <x:v>5</x:v>
      </x:c>
      <x:c r="D28" s="13" t="n">
        <x:v>10</x:v>
      </x:c>
      <x:c r="E28" s="13" t="str">
        <x:v>%</x:v>
      </x:c>
      <x:c r="F28" s="13" t="str">
        <x:v>비율</x:v>
      </x:c>
      <x:c r="G28" s="13" t="str">
        <x:v>몸/허리/목걸이/반지</x:v>
      </x:c>
    </x:row>
  </x:sheetData>
  <x:mergeCells>
    <x:mergeCell ref="A1:G1"/>
    <x:mergeCell ref="A2:G2"/>
  </x:mergeCells>
  <x:pageMargins left="0.7" right="0.7" top="0.75" bottom="0.75" header="0.3" footer="0.3"/>
  <x:tableParts count="1">
    <x:tablePart xmlns:r="http://schemas.openxmlformats.org/officeDocument/2006/relationships" r:id="R3efc83b9c4064d90"/>
  </x:tableParts>
</x:worksheet>
</file>

<file path=xl/worksheets/sheet14.xml><?xml version="1.0" encoding="utf-8"?>
<x:worksheet xmlns:x="http://schemas.openxmlformats.org/spreadsheetml/2006/main">
  <x:sheetFormatPr defaultRowHeight="15"/>
  <x:cols>
    <x:col min="1" max="1" width="12" hidden="0" customWidth="1"/>
    <x:col min="2" max="2" width="24" hidden="0" customWidth="1"/>
    <x:col min="3" max="3" width="12" hidden="0" customWidth="1"/>
    <x:col min="4" max="4" width="12" hidden="0" customWidth="1"/>
    <x:col min="5" max="5" width="14" hidden="0" customWidth="1"/>
    <x:col min="6" max="6" width="32" hidden="0" customWidth="1"/>
    <x:col min="7" max="7" width="22" hidden="0" customWidth="1"/>
    <x:col min="8" max="8" width="42" hidden="0" customWidth="1"/>
  </x:cols>
  <x:sheetData>
    <x:row r="1" ht="30" customHeight="1">
      <x:c r="A1" s="3" t="str">
        <x:v>HELLSCRIPT 0.1  |  베이스24</x:v>
      </x:c>
      <x:c r="B1" s="3"/>
      <x:c r="C1" s="3"/>
      <x:c r="D1" s="3"/>
      <x:c r="E1" s="3"/>
      <x:c r="F1" s="3"/>
      <x:c r="G1" s="3"/>
      <x:c r="H1" s="3"/>
    </x:row>
    <x:row r="2" ht="38" customHeight="1">
      <x:c r="A2" s="8" t="str">
        <x:v>신규 설계: 테스트 초안. 실제 플레이 검증 전.</x:v>
      </x:c>
      <x:c r="B2" s="8"/>
      <x:c r="C2" s="8"/>
      <x:c r="D2" s="8"/>
      <x:c r="E2" s="8"/>
      <x:c r="F2" s="8"/>
      <x:c r="G2" s="8"/>
      <x:c r="H2" s="8"/>
    </x:row>
    <x:row r="4" ht="32" customHeight="1">
      <x:c r="A4" s="18" t="str">
        <x:v>ID</x:v>
      </x:c>
      <x:c r="B4" s="18" t="str">
        <x:v>이름</x:v>
      </x:c>
      <x:c r="C4" s="18" t="str">
        <x:v>부위</x:v>
      </x:c>
      <x:c r="D4" s="18" t="str">
        <x:v>직업</x:v>
      </x:c>
      <x:c r="E4" s="18" t="str">
        <x:v>기초주능력</x:v>
      </x:c>
      <x:c r="F4" s="18" t="str">
        <x:v>고정 부가효과</x:v>
      </x:c>
      <x:c r="G4" s="18" t="str">
        <x:v>주능력종류</x:v>
      </x:c>
      <x:c r="H4" s="18" t="str">
        <x:v>설명</x:v>
      </x:c>
    </x:row>
    <x:row r="5" ht="76" customHeight="1">
      <x:c r="A5" s="13" t="str">
        <x:v>B01</x:v>
      </x:c>
      <x:c r="B5" s="13" t="str">
        <x:v>녹슨 도검</x:v>
      </x:c>
      <x:c r="C5" s="13" t="str">
        <x:v>무기</x:v>
      </x:c>
      <x:c r="D5" s="13" t="str">
        <x:v>전사</x:v>
      </x:c>
      <x:c r="E5" s="13" t="n">
        <x:v>17</x:v>
      </x:c>
      <x:c r="F5" s="13" t="str">
        <x:v>공격속도+15%</x:v>
      </x:c>
      <x:c r="G5" s="13" t="str">
        <x:v>무기 피해</x:v>
      </x:c>
      <x:c r="H5" s="13" t="str">
        <x:v>기본 공통무기20 대비 속도/단발화력 교환</x:v>
      </x:c>
    </x:row>
    <x:row r="6" ht="76" customHeight="1">
      <x:c r="A6" s="13" t="str">
        <x:v>B02</x:v>
      </x:c>
      <x:c r="B6" s="13" t="str">
        <x:v>강철 대검</x:v>
      </x:c>
      <x:c r="C6" s="13" t="str">
        <x:v>무기</x:v>
      </x:c>
      <x:c r="D6" s="13" t="str">
        <x:v>전사</x:v>
      </x:c>
      <x:c r="E6" s="13" t="n">
        <x:v>20</x:v>
      </x:c>
      <x:c r="F6" s="13" t="str">
        <x:v>없음</x:v>
      </x:c>
      <x:c r="G6" s="13" t="str">
        <x:v>무기 피해</x:v>
      </x:c>
      <x:c r="H6" s="13" t="str">
        <x:v>기본 공통무기20 대비 속도/단발화력 교환</x:v>
      </x:c>
    </x:row>
    <x:row r="7" ht="76" customHeight="1">
      <x:c r="A7" s="13" t="str">
        <x:v>B03</x:v>
      </x:c>
      <x:c r="B7" s="13" t="str">
        <x:v>묵철 도끼</x:v>
      </x:c>
      <x:c r="C7" s="13" t="str">
        <x:v>무기</x:v>
      </x:c>
      <x:c r="D7" s="13" t="str">
        <x:v>전사</x:v>
      </x:c>
      <x:c r="E7" s="13" t="n">
        <x:v>23</x:v>
      </x:c>
      <x:c r="F7" s="13" t="str">
        <x:v>공격속도-15%</x:v>
      </x:c>
      <x:c r="G7" s="13" t="str">
        <x:v>무기 피해</x:v>
      </x:c>
      <x:c r="H7" s="13" t="str">
        <x:v>기본 공통무기20 대비 속도/단발화력 교환</x:v>
      </x:c>
    </x:row>
    <x:row r="8" ht="76" customHeight="1">
      <x:c r="A8" s="13" t="str">
        <x:v>B04</x:v>
      </x:c>
      <x:c r="B8" s="13" t="str">
        <x:v>사냥 활</x:v>
      </x:c>
      <x:c r="C8" s="13" t="str">
        <x:v>무기</x:v>
      </x:c>
      <x:c r="D8" s="13" t="str">
        <x:v>궁수</x:v>
      </x:c>
      <x:c r="E8" s="13" t="n">
        <x:v>17</x:v>
      </x:c>
      <x:c r="F8" s="13" t="str">
        <x:v>공격속도+15%</x:v>
      </x:c>
      <x:c r="G8" s="13" t="str">
        <x:v>무기 피해</x:v>
      </x:c>
      <x:c r="H8" s="13" t="str">
        <x:v>기본 공통무기20 대비 속도/단발화력 교환</x:v>
      </x:c>
    </x:row>
    <x:row r="9" ht="76" customHeight="1">
      <x:c r="A9" s="13" t="str">
        <x:v>B05</x:v>
      </x:c>
      <x:c r="B9" s="13" t="str">
        <x:v>전쟁 활</x:v>
      </x:c>
      <x:c r="C9" s="13" t="str">
        <x:v>무기</x:v>
      </x:c>
      <x:c r="D9" s="13" t="str">
        <x:v>궁수</x:v>
      </x:c>
      <x:c r="E9" s="13" t="n">
        <x:v>20</x:v>
      </x:c>
      <x:c r="F9" s="13" t="str">
        <x:v>없음</x:v>
      </x:c>
      <x:c r="G9" s="13" t="str">
        <x:v>무기 피해</x:v>
      </x:c>
      <x:c r="H9" s="13" t="str">
        <x:v>기본 공통무기20 대비 속도/단발화력 교환</x:v>
      </x:c>
    </x:row>
    <x:row r="10" ht="76" customHeight="1">
      <x:c r="A10" s="13" t="str">
        <x:v>B06</x:v>
      </x:c>
      <x:c r="B10" s="13" t="str">
        <x:v>중형 쇠뇌</x:v>
      </x:c>
      <x:c r="C10" s="13" t="str">
        <x:v>무기</x:v>
      </x:c>
      <x:c r="D10" s="13" t="str">
        <x:v>궁수</x:v>
      </x:c>
      <x:c r="E10" s="13" t="n">
        <x:v>23</x:v>
      </x:c>
      <x:c r="F10" s="13" t="str">
        <x:v>공격속도-15%</x:v>
      </x:c>
      <x:c r="G10" s="13" t="str">
        <x:v>무기 피해</x:v>
      </x:c>
      <x:c r="H10" s="13" t="str">
        <x:v>기본 공통무기20 대비 속도/단발화력 교환</x:v>
      </x:c>
    </x:row>
    <x:row r="11" ht="76" customHeight="1">
      <x:c r="A11" s="13" t="str">
        <x:v>B07</x:v>
      </x:c>
      <x:c r="B11" s="13" t="str">
        <x:v>재의 지팡이</x:v>
      </x:c>
      <x:c r="C11" s="13" t="str">
        <x:v>무기</x:v>
      </x:c>
      <x:c r="D11" s="13" t="str">
        <x:v>마법사</x:v>
      </x:c>
      <x:c r="E11" s="13" t="n">
        <x:v>17</x:v>
      </x:c>
      <x:c r="F11" s="13" t="str">
        <x:v>공격속도+15%</x:v>
      </x:c>
      <x:c r="G11" s="13" t="str">
        <x:v>무기 피해</x:v>
      </x:c>
      <x:c r="H11" s="13" t="str">
        <x:v>기본 공통무기20 대비 속도/단발화력 교환</x:v>
      </x:c>
    </x:row>
    <x:row r="12" ht="76" customHeight="1">
      <x:c r="A12" s="13" t="str">
        <x:v>B08</x:v>
      </x:c>
      <x:c r="B12" s="13" t="str">
        <x:v>봉인 지팡이</x:v>
      </x:c>
      <x:c r="C12" s="13" t="str">
        <x:v>무기</x:v>
      </x:c>
      <x:c r="D12" s="13" t="str">
        <x:v>마법사</x:v>
      </x:c>
      <x:c r="E12" s="13" t="n">
        <x:v>20</x:v>
      </x:c>
      <x:c r="F12" s="13" t="str">
        <x:v>없음</x:v>
      </x:c>
      <x:c r="G12" s="13" t="str">
        <x:v>무기 피해</x:v>
      </x:c>
      <x:c r="H12" s="13" t="str">
        <x:v>기본 공통무기20 대비 속도/단발화력 교환</x:v>
      </x:c>
    </x:row>
    <x:row r="13" ht="76" customHeight="1">
      <x:c r="A13" s="13" t="str">
        <x:v>B09</x:v>
      </x:c>
      <x:c r="B13" s="13" t="str">
        <x:v>흑요석 지팡이</x:v>
      </x:c>
      <x:c r="C13" s="13" t="str">
        <x:v>무기</x:v>
      </x:c>
      <x:c r="D13" s="13" t="str">
        <x:v>마법사</x:v>
      </x:c>
      <x:c r="E13" s="13" t="n">
        <x:v>23</x:v>
      </x:c>
      <x:c r="F13" s="13" t="str">
        <x:v>공격속도-15%</x:v>
      </x:c>
      <x:c r="G13" s="13" t="str">
        <x:v>무기 피해</x:v>
      </x:c>
      <x:c r="H13" s="13" t="str">
        <x:v>기본 공통무기20 대비 속도/단발화력 교환</x:v>
      </x:c>
    </x:row>
    <x:row r="14" ht="76" customHeight="1">
      <x:c r="A14" s="13" t="str">
        <x:v>B10</x:v>
      </x:c>
      <x:c r="B14" s="13" t="str">
        <x:v>천 두건</x:v>
      </x:c>
      <x:c r="C14" s="13" t="str">
        <x:v>머리</x:v>
      </x:c>
      <x:c r="D14" s="13" t="str">
        <x:v>공용</x:v>
      </x:c>
      <x:c r="E14" s="13" t="n">
        <x:v>12</x:v>
      </x:c>
      <x:c r="F14" s="13" t="str">
        <x:v>모든 비물리 저항+8</x:v>
      </x:c>
      <x:c r="G14" s="13" t="str">
        <x:v>방어도</x:v>
      </x:c>
      <x:c r="H14" s="13" t="str">
        <x:v>기본 수치와 부가 저항은 아이템레벨 배율</x:v>
      </x:c>
    </x:row>
    <x:row r="15" ht="76" customHeight="1">
      <x:c r="A15" s="13" t="str">
        <x:v>B11</x:v>
      </x:c>
      <x:c r="B15" s="13" t="str">
        <x:v>철 투구</x:v>
      </x:c>
      <x:c r="C15" s="13" t="str">
        <x:v>머리</x:v>
      </x:c>
      <x:c r="D15" s="13" t="str">
        <x:v>공용</x:v>
      </x:c>
      <x:c r="E15" s="13" t="n">
        <x:v>20</x:v>
      </x:c>
      <x:c r="F15" s="13" t="str">
        <x:v>없음</x:v>
      </x:c>
      <x:c r="G15" s="13" t="str">
        <x:v>방어도</x:v>
      </x:c>
      <x:c r="H15" s="13" t="str">
        <x:v>기본 수치와 부가 저항은 아이템레벨 배율</x:v>
      </x:c>
    </x:row>
    <x:row r="16" ht="76" customHeight="1">
      <x:c r="A16" s="13" t="str">
        <x:v>B12</x:v>
      </x:c>
      <x:c r="B16" s="13" t="str">
        <x:v>가죽 외투</x:v>
      </x:c>
      <x:c r="C16" s="13" t="str">
        <x:v>몸</x:v>
      </x:c>
      <x:c r="D16" s="13" t="str">
        <x:v>공용</x:v>
      </x:c>
      <x:c r="E16" s="13" t="n">
        <x:v>24</x:v>
      </x:c>
      <x:c r="F16" s="13" t="str">
        <x:v>모든 비물리 저항+8</x:v>
      </x:c>
      <x:c r="G16" s="13" t="str">
        <x:v>방어도</x:v>
      </x:c>
      <x:c r="H16" s="13" t="str">
        <x:v>기본 수치와 부가 저항은 아이템레벨 배율</x:v>
      </x:c>
    </x:row>
    <x:row r="17" ht="76" customHeight="1">
      <x:c r="A17" s="13" t="str">
        <x:v>B13</x:v>
      </x:c>
      <x:c r="B17" s="13" t="str">
        <x:v>철 갑옷</x:v>
      </x:c>
      <x:c r="C17" s="13" t="str">
        <x:v>몸</x:v>
      </x:c>
      <x:c r="D17" s="13" t="str">
        <x:v>공용</x:v>
      </x:c>
      <x:c r="E17" s="13" t="n">
        <x:v>40</x:v>
      </x:c>
      <x:c r="F17" s="13" t="str">
        <x:v>없음</x:v>
      </x:c>
      <x:c r="G17" s="13" t="str">
        <x:v>방어도</x:v>
      </x:c>
      <x:c r="H17" s="13" t="str">
        <x:v>기본 수치와 부가 저항은 아이템레벨 배율</x:v>
      </x:c>
    </x:row>
    <x:row r="18" ht="76" customHeight="1">
      <x:c r="A18" s="13" t="str">
        <x:v>B14</x:v>
      </x:c>
      <x:c r="B18" s="13" t="str">
        <x:v>천 장갑</x:v>
      </x:c>
      <x:c r="C18" s="13" t="str">
        <x:v>손</x:v>
      </x:c>
      <x:c r="D18" s="13" t="str">
        <x:v>공용</x:v>
      </x:c>
      <x:c r="E18" s="13" t="n">
        <x:v>8</x:v>
      </x:c>
      <x:c r="F18" s="13" t="str">
        <x:v>모든 비물리 저항+8</x:v>
      </x:c>
      <x:c r="G18" s="13" t="str">
        <x:v>방어도</x:v>
      </x:c>
      <x:c r="H18" s="13" t="str">
        <x:v>기본 수치와 부가 저항은 아이템레벨 배율</x:v>
      </x:c>
    </x:row>
    <x:row r="19" ht="76" customHeight="1">
      <x:c r="A19" s="13" t="str">
        <x:v>B15</x:v>
      </x:c>
      <x:c r="B19" s="13" t="str">
        <x:v>철 장갑</x:v>
      </x:c>
      <x:c r="C19" s="13" t="str">
        <x:v>손</x:v>
      </x:c>
      <x:c r="D19" s="13" t="str">
        <x:v>공용</x:v>
      </x:c>
      <x:c r="E19" s="13" t="n">
        <x:v>14</x:v>
      </x:c>
      <x:c r="F19" s="13" t="str">
        <x:v>없음</x:v>
      </x:c>
      <x:c r="G19" s="13" t="str">
        <x:v>방어도</x:v>
      </x:c>
      <x:c r="H19" s="13" t="str">
        <x:v>기본 수치와 부가 저항은 아이템레벨 배율</x:v>
      </x:c>
    </x:row>
    <x:row r="20" ht="76" customHeight="1">
      <x:c r="A20" s="13" t="str">
        <x:v>B16</x:v>
      </x:c>
      <x:c r="B20" s="13" t="str">
        <x:v>가죽 장화</x:v>
      </x:c>
      <x:c r="C20" s="13" t="str">
        <x:v>발</x:v>
      </x:c>
      <x:c r="D20" s="13" t="str">
        <x:v>공용</x:v>
      </x:c>
      <x:c r="E20" s="13" t="n">
        <x:v>8</x:v>
      </x:c>
      <x:c r="F20" s="13" t="str">
        <x:v>모든 비물리 저항+8</x:v>
      </x:c>
      <x:c r="G20" s="13" t="str">
        <x:v>방어도</x:v>
      </x:c>
      <x:c r="H20" s="13" t="str">
        <x:v>기본 수치와 부가 저항은 아이템레벨 배율</x:v>
      </x:c>
    </x:row>
    <x:row r="21" ht="76" customHeight="1">
      <x:c r="A21" s="13" t="str">
        <x:v>B17</x:v>
      </x:c>
      <x:c r="B21" s="13" t="str">
        <x:v>철 장화</x:v>
      </x:c>
      <x:c r="C21" s="13" t="str">
        <x:v>발</x:v>
      </x:c>
      <x:c r="D21" s="13" t="str">
        <x:v>공용</x:v>
      </x:c>
      <x:c r="E21" s="13" t="n">
        <x:v>14</x:v>
      </x:c>
      <x:c r="F21" s="13" t="str">
        <x:v>없음</x:v>
      </x:c>
      <x:c r="G21" s="13" t="str">
        <x:v>방어도</x:v>
      </x:c>
      <x:c r="H21" s="13" t="str">
        <x:v>기본 수치와 부가 저항은 아이템레벨 배율</x:v>
      </x:c>
    </x:row>
    <x:row r="22" ht="76" customHeight="1">
      <x:c r="A22" s="13" t="str">
        <x:v>B18</x:v>
      </x:c>
      <x:c r="B22" s="13" t="str">
        <x:v>직물 허리띠</x:v>
      </x:c>
      <x:c r="C22" s="13" t="str">
        <x:v>허리</x:v>
      </x:c>
      <x:c r="D22" s="13" t="str">
        <x:v>공용</x:v>
      </x:c>
      <x:c r="E22" s="13" t="n">
        <x:v>10</x:v>
      </x:c>
      <x:c r="F22" s="13" t="str">
        <x:v>모든 비물리 저항+8</x:v>
      </x:c>
      <x:c r="G22" s="13" t="str">
        <x:v>방어도</x:v>
      </x:c>
      <x:c r="H22" s="13" t="str">
        <x:v>기본 수치와 부가 저항은 아이템레벨 배율</x:v>
      </x:c>
    </x:row>
    <x:row r="23" ht="76" customHeight="1">
      <x:c r="A23" s="13" t="str">
        <x:v>B19</x:v>
      </x:c>
      <x:c r="B23" s="13" t="str">
        <x:v>철 버클 허리띠</x:v>
      </x:c>
      <x:c r="C23" s="13" t="str">
        <x:v>허리</x:v>
      </x:c>
      <x:c r="D23" s="13" t="str">
        <x:v>공용</x:v>
      </x:c>
      <x:c r="E23" s="13" t="n">
        <x:v>16</x:v>
      </x:c>
      <x:c r="F23" s="13" t="str">
        <x:v>없음</x:v>
      </x:c>
      <x:c r="G23" s="13" t="str">
        <x:v>방어도</x:v>
      </x:c>
      <x:c r="H23" s="13" t="str">
        <x:v>기본 수치와 부가 저항은 아이템레벨 배율</x:v>
      </x:c>
    </x:row>
    <x:row r="24" ht="76" customHeight="1">
      <x:c r="A24" s="13" t="str">
        <x:v>B20</x:v>
      </x:c>
      <x:c r="B24" s="13" t="str">
        <x:v>뼈 목걸이</x:v>
      </x:c>
      <x:c r="C24" s="13" t="str">
        <x:v>목걸이</x:v>
      </x:c>
      <x:c r="D24" s="13" t="str">
        <x:v>공용</x:v>
      </x:c>
      <x:c r="E24" s="13" t="n">
        <x:v>20</x:v>
      </x:c>
      <x:c r="F24" s="13" t="str">
        <x:v>없음</x:v>
      </x:c>
      <x:c r="G24" s="13" t="str">
        <x:v>최대HP</x:v>
      </x:c>
      <x:c r="H24" s="13" t="str">
        <x:v>외형/주능력 베이스; 후속 밸런스에서 차별화</x:v>
      </x:c>
    </x:row>
    <x:row r="25" ht="76" customHeight="1">
      <x:c r="A25" s="13" t="str">
        <x:v>B21</x:v>
      </x:c>
      <x:c r="B25" s="13" t="str">
        <x:v>은 목걸이</x:v>
      </x:c>
      <x:c r="C25" s="13" t="str">
        <x:v>목걸이</x:v>
      </x:c>
      <x:c r="D25" s="13" t="str">
        <x:v>공용</x:v>
      </x:c>
      <x:c r="E25" s="13" t="n">
        <x:v>25</x:v>
      </x:c>
      <x:c r="F25" s="13" t="str">
        <x:v>없음</x:v>
      </x:c>
      <x:c r="G25" s="13" t="str">
        <x:v>최대HP</x:v>
      </x:c>
      <x:c r="H25" s="13" t="str">
        <x:v>외형/주능력 베이스; 후속 밸런스에서 차별화</x:v>
      </x:c>
    </x:row>
    <x:row r="26" ht="76" customHeight="1">
      <x:c r="A26" s="13" t="str">
        <x:v>B22</x:v>
      </x:c>
      <x:c r="B26" s="13" t="str">
        <x:v>봉인 목걸이</x:v>
      </x:c>
      <x:c r="C26" s="13" t="str">
        <x:v>목걸이</x:v>
      </x:c>
      <x:c r="D26" s="13" t="str">
        <x:v>공용</x:v>
      </x:c>
      <x:c r="E26" s="13" t="n">
        <x:v>30</x:v>
      </x:c>
      <x:c r="F26" s="13" t="str">
        <x:v>없음</x:v>
      </x:c>
      <x:c r="G26" s="13" t="str">
        <x:v>최대HP</x:v>
      </x:c>
      <x:c r="H26" s="13" t="str">
        <x:v>외형/주능력 베이스; 후속 밸런스에서 차별화</x:v>
      </x:c>
    </x:row>
    <x:row r="27" ht="76" customHeight="1">
      <x:c r="A27" s="13" t="str">
        <x:v>B23</x:v>
      </x:c>
      <x:c r="B27" s="13" t="str">
        <x:v>철 반지</x:v>
      </x:c>
      <x:c r="C27" s="13" t="str">
        <x:v>반지</x:v>
      </x:c>
      <x:c r="D27" s="13" t="str">
        <x:v>공용</x:v>
      </x:c>
      <x:c r="E27" s="13" t="n">
        <x:v>5</x:v>
      </x:c>
      <x:c r="F27" s="13" t="str">
        <x:v>없음</x:v>
      </x:c>
      <x:c r="G27" s="13" t="str">
        <x:v>모든 비물리 저항</x:v>
      </x:c>
      <x:c r="H27" s="13" t="str">
        <x:v>베이스 중 일부는 공통 성능의 외형 변형</x:v>
      </x:c>
    </x:row>
    <x:row r="28" ht="76" customHeight="1">
      <x:c r="A28" s="13" t="str">
        <x:v>B24</x:v>
      </x:c>
      <x:c r="B28" s="13" t="str">
        <x:v>은 반지</x:v>
      </x:c>
      <x:c r="C28" s="13" t="str">
        <x:v>반지</x:v>
      </x:c>
      <x:c r="D28" s="13" t="str">
        <x:v>공용</x:v>
      </x:c>
      <x:c r="E28" s="13" t="n">
        <x:v>5</x:v>
      </x:c>
      <x:c r="F28" s="13" t="str">
        <x:v>없음</x:v>
      </x:c>
      <x:c r="G28" s="13" t="str">
        <x:v>모든 비물리 저항</x:v>
      </x:c>
      <x:c r="H28" s="13" t="str">
        <x:v>베이스 중 일부는 공통 성능의 외형 변형</x:v>
      </x:c>
    </x:row>
  </x:sheetData>
  <x:mergeCells>
    <x:mergeCell ref="A1:H1"/>
    <x:mergeCell ref="A2:H2"/>
  </x:mergeCells>
  <x:pageMargins left="0.7" right="0.7" top="0.75" bottom="0.75" header="0.3" footer="0.3"/>
  <x:tableParts count="1">
    <x:tablePart xmlns:r="http://schemas.openxmlformats.org/officeDocument/2006/relationships" r:id="R5ebca7dd3bf74cf7"/>
  </x:tableParts>
</x:worksheet>
</file>

<file path=xl/worksheets/sheet15.xml><?xml version="1.0" encoding="utf-8"?>
<x:worksheet xmlns:x="http://schemas.openxmlformats.org/spreadsheetml/2006/main">
  <x:sheetFormatPr defaultRowHeight="15"/>
  <x:cols>
    <x:col min="1" max="1" width="12" hidden="0" customWidth="1"/>
    <x:col min="2" max="2" width="12" hidden="0" customWidth="1"/>
    <x:col min="3" max="3" width="23" hidden="0" customWidth="1"/>
    <x:col min="4" max="4" width="20" hidden="0" customWidth="1"/>
    <x:col min="5" max="5" width="12" hidden="0" customWidth="1"/>
    <x:col min="6" max="6" width="12" hidden="0" customWidth="1"/>
    <x:col min="7" max="7" width="12" hidden="0" customWidth="1"/>
    <x:col min="8" max="8" width="42" hidden="0" customWidth="1"/>
    <x:col min="9" max="9" width="42" hidden="0" customWidth="1"/>
  </x:cols>
  <x:sheetData>
    <x:row r="1" ht="30" customHeight="1">
      <x:c r="A1" s="3" t="str">
        <x:v>HELLSCRIPT 0.1  |  일반몹12</x:v>
      </x:c>
      <x:c r="B1" s="3"/>
      <x:c r="C1" s="3"/>
      <x:c r="D1" s="3"/>
      <x:c r="E1" s="3"/>
      <x:c r="F1" s="3"/>
      <x:c r="G1" s="3"/>
      <x:c r="H1" s="3"/>
      <x:c r="I1" s="3"/>
    </x:row>
    <x:row r="2" ht="38" customHeight="1">
      <x:c r="A2" s="8" t="str">
        <x:v>신규 설계: 테스트 초안. 실제 플레이 검증 전.</x:v>
      </x:c>
      <x:c r="B2" s="8"/>
      <x:c r="C2" s="8"/>
      <x:c r="D2" s="8"/>
      <x:c r="E2" s="8"/>
      <x:c r="F2" s="8"/>
      <x:c r="G2" s="8"/>
      <x:c r="H2" s="8"/>
      <x:c r="I2" s="8"/>
    </x:row>
    <x:row r="4" ht="32" customHeight="1">
      <x:c r="A4" s="18" t="str">
        <x:v>ID</x:v>
      </x:c>
      <x:c r="B4" s="18" t="str">
        <x:v>테마</x:v>
      </x:c>
      <x:c r="C4" s="18" t="str">
        <x:v>이름</x:v>
      </x:c>
      <x:c r="D4" s="18" t="str">
        <x:v>행동유형</x:v>
      </x:c>
      <x:c r="E4" s="18" t="str">
        <x:v>HP배수</x:v>
      </x:c>
      <x:c r="F4" s="18" t="str">
        <x:v>공격배수</x:v>
      </x:c>
      <x:c r="G4" s="18" t="str">
        <x:v>이속</x:v>
      </x:c>
      <x:c r="H4" s="18" t="str">
        <x:v>패턴</x:v>
      </x:c>
      <x:c r="I4" s="18" t="str">
        <x:v>설정 과제</x:v>
      </x:c>
    </x:row>
    <x:row r="5" ht="76" customHeight="1">
      <x:c r="A5" s="13" t="str">
        <x:v>N01</x:v>
      </x:c>
      <x:c r="B5" s="13" t="str">
        <x:v>묘지</x:v>
      </x:c>
      <x:c r="C5" s="13" t="str">
        <x:v>쇠사슬 시체</x:v>
      </x:c>
      <x:c r="D5" s="13" t="str">
        <x:v>근접 추적</x:v>
      </x:c>
      <x:c r="E5" s="13" t="n">
        <x:v>1</x:v>
      </x:c>
      <x:c r="F5" s="13" t="n">
        <x:v>1</x:v>
      </x:c>
      <x:c r="G5" s="13" t="n">
        <x:v>2.7</x:v>
      </x:c>
      <x:c r="H5" s="13" t="str">
        <x:v>0.65초 예고 근접 타격</x:v>
      </x:c>
      <x:c r="I5" s="13" t="str">
        <x:v>무리 모으기/선회</x:v>
      </x:c>
    </x:row>
    <x:row r="6" ht="76" customHeight="1">
      <x:c r="A6" s="13" t="str">
        <x:v>N02</x:v>
      </x:c>
      <x:c r="B6" s="13" t="str">
        <x:v>묘지</x:v>
      </x:c>
      <x:c r="C6" s="13" t="str">
        <x:v>무덤 사냥개</x:v>
      </x:c>
      <x:c r="D6" s="13" t="str">
        <x:v>돌진</x:v>
      </x:c>
      <x:c r="E6" s="13" t="n">
        <x:v>0.7</x:v>
      </x:c>
      <x:c r="F6" s="13" t="n">
        <x:v>1.1</x:v>
      </x:c>
      <x:c r="G6" s="13" t="n">
        <x:v>3.6</x:v>
      </x:c>
      <x:c r="H6" s="13" t="str">
        <x:v>5초마다0.8초 직선 돌진 예고</x:v>
      </x:c>
      <x:c r="I6" s="13" t="str">
        <x:v>이동기 보존/측면 이동</x:v>
      </x:c>
    </x:row>
    <x:row r="7" ht="76" customHeight="1">
      <x:c r="A7" s="13" t="str">
        <x:v>N03</x:v>
      </x:c>
      <x:c r="B7" s="13" t="str">
        <x:v>묘지</x:v>
      </x:c>
      <x:c r="C7" s="13" t="str">
        <x:v>해골 궁병</x:v>
      </x:c>
      <x:c r="D7" s="13" t="str">
        <x:v>원거리</x:v>
      </x:c>
      <x:c r="E7" s="13" t="n">
        <x:v>0.7</x:v>
      </x:c>
      <x:c r="F7" s="13" t="n">
        <x:v>0.8</x:v>
      </x:c>
      <x:c r="G7" s="13" t="n">
        <x:v>2.4</x:v>
      </x:c>
      <x:c r="H7" s="13" t="str">
        <x:v>사거리9m,1초 예고 단일 투사체</x:v>
      </x:c>
      <x:c r="I7" s="13" t="str">
        <x:v>원거리 우선/사거리 진입</x:v>
      </x:c>
    </x:row>
    <x:row r="8" ht="76" customHeight="1">
      <x:c r="A8" s="13" t="str">
        <x:v>N04</x:v>
      </x:c>
      <x:c r="B8" s="13" t="str">
        <x:v>묘지</x:v>
      </x:c>
      <x:c r="C8" s="13" t="str">
        <x:v>역병 시종</x:v>
      </x:c>
      <x:c r="D8" s="13" t="str">
        <x:v>장판</x:v>
      </x:c>
      <x:c r="E8" s="13" t="n">
        <x:v>0.85</x:v>
      </x:c>
      <x:c r="F8" s="13" t="n">
        <x:v>0.8</x:v>
      </x:c>
      <x:c r="G8" s="13" t="n">
        <x:v>2.3</x:v>
      </x:c>
      <x:c r="H8" s="13" t="str">
        <x:v>6초마다 현재위치 예고1.2초→독장판4초</x:v>
      </x:c>
      <x:c r="I8" s="13" t="str">
        <x:v>장판 이탈</x:v>
      </x:c>
    </x:row>
    <x:row r="9" ht="76" customHeight="1">
      <x:c r="A9" s="13" t="str">
        <x:v>N05</x:v>
      </x:c>
      <x:c r="B9" s="13" t="str">
        <x:v>묘지</x:v>
      </x:c>
      <x:c r="C9" s="13" t="str">
        <x:v>장송 사제</x:v>
      </x:c>
      <x:c r="D9" s="13" t="str">
        <x:v>지원</x:v>
      </x:c>
      <x:c r="E9" s="13" t="n">
        <x:v>0.9</x:v>
      </x:c>
      <x:c r="F9" s="13" t="n">
        <x:v>0.3</x:v>
      </x:c>
      <x:c r="G9" s="13" t="n">
        <x:v>2.2</x:v>
      </x:c>
      <x:c r="H9" s="13" t="str">
        <x:v>6초마다1초 시전,주변3m 아군HP15% 회복</x:v>
      </x:c>
      <x:c r="I9" s="13" t="str">
        <x:v>지원형 우선/시전 중단</x:v>
      </x:c>
    </x:row>
    <x:row r="10" ht="76" customHeight="1">
      <x:c r="A10" s="13" t="str">
        <x:v>N06</x:v>
      </x:c>
      <x:c r="B10" s="13" t="str">
        <x:v>묘지</x:v>
      </x:c>
      <x:c r="C10" s="13" t="str">
        <x:v>부푼 순례자</x:v>
      </x:c>
      <x:c r="D10" s="13" t="str">
        <x:v>사망 폭발</x:v>
      </x:c>
      <x:c r="E10" s="13" t="n">
        <x:v>1.2</x:v>
      </x:c>
      <x:c r="F10" s="13" t="n">
        <x:v>0.6</x:v>
      </x:c>
      <x:c r="G10" s="13" t="n">
        <x:v>2</x:v>
      </x:c>
      <x:c r="H10" s="13" t="str">
        <x:v>사망1초 후 반경2.5m 폭발D2배</x:v>
      </x:c>
      <x:c r="I10" s="13" t="str">
        <x:v>처치 직후 이탈</x:v>
      </x:c>
    </x:row>
    <x:row r="11" ht="76" customHeight="1">
      <x:c r="A11" s="13" t="str">
        <x:v>N07</x:v>
      </x:c>
      <x:c r="B11" s="13" t="str">
        <x:v>성채</x:v>
      </x:c>
      <x:c r="C11" s="13" t="str">
        <x:v>철갑 망령</x:v>
      </x:c>
      <x:c r="D11" s="13" t="str">
        <x:v>근접 추적</x:v>
      </x:c>
      <x:c r="E11" s="13" t="n">
        <x:v>1.4</x:v>
      </x:c>
      <x:c r="F11" s="13" t="n">
        <x:v>1.1</x:v>
      </x:c>
      <x:c r="G11" s="13" t="n">
        <x:v>2.2</x:v>
      </x:c>
      <x:c r="H11" s="13" t="str">
        <x:v>전방 타격, 공격 후0.8초 후방 취약</x:v>
      </x:c>
      <x:c r="I11" s="13" t="str">
        <x:v>가장자리 선회</x:v>
      </x:c>
    </x:row>
    <x:row r="12" ht="76" customHeight="1">
      <x:c r="A12" s="13" t="str">
        <x:v>N08</x:v>
      </x:c>
      <x:c r="B12" s="13" t="str">
        <x:v>성채</x:v>
      </x:c>
      <x:c r="C12" s="13" t="str">
        <x:v>광신 돌격병</x:v>
      </x:c>
      <x:c r="D12" s="13" t="str">
        <x:v>돌진</x:v>
      </x:c>
      <x:c r="E12" s="13" t="n">
        <x:v>0.9</x:v>
      </x:c>
      <x:c r="F12" s="13" t="n">
        <x:v>1.3</x:v>
      </x:c>
      <x:c r="G12" s="13" t="n">
        <x:v>3.2</x:v>
      </x:c>
      <x:c r="H12" s="13" t="str">
        <x:v>7초마다0.9초 예고 후2회 연속 돌진</x:v>
      </x:c>
      <x:c r="I12" s="13" t="str">
        <x:v>첫 돌진 이후 이동 유지</x:v>
      </x:c>
    </x:row>
    <x:row r="13" ht="76" customHeight="1">
      <x:c r="A13" s="13" t="str">
        <x:v>N09</x:v>
      </x:c>
      <x:c r="B13" s="13" t="str">
        <x:v>성채</x:v>
      </x:c>
      <x:c r="C13" s="13" t="str">
        <x:v>흑철 석궁병</x:v>
      </x:c>
      <x:c r="D13" s="13" t="str">
        <x:v>원거리</x:v>
      </x:c>
      <x:c r="E13" s="13" t="n">
        <x:v>0.8</x:v>
      </x:c>
      <x:c r="F13" s="13" t="n">
        <x:v>1</x:v>
      </x:c>
      <x:c r="G13" s="13" t="n">
        <x:v>2.2</x:v>
      </x:c>
      <x:c r="H13" s="13" t="str">
        <x:v>1.2초 예고 후 좁은 부채꼴3발</x:v>
      </x:c>
      <x:c r="I13" s="13" t="str">
        <x:v>근거리 진입/사선 회피</x:v>
      </x:c>
    </x:row>
    <x:row r="14" ht="76" customHeight="1">
      <x:c r="A14" s="13" t="str">
        <x:v>N10</x:v>
      </x:c>
      <x:c r="B14" s="13" t="str">
        <x:v>성채</x:v>
      </x:c>
      <x:c r="C14" s="13" t="str">
        <x:v>잿불 사술사</x:v>
      </x:c>
      <x:c r="D14" s="13" t="str">
        <x:v>장판</x:v>
      </x:c>
      <x:c r="E14" s="13" t="n">
        <x:v>0.8</x:v>
      </x:c>
      <x:c r="F14" s="13" t="n">
        <x:v>1</x:v>
      </x:c>
      <x:c r="G14" s="13" t="n">
        <x:v>2.3</x:v>
      </x:c>
      <x:c r="H14" s="13" t="str">
        <x:v>1.5초 후 최근 이동 방향 앞에 화염장판3초</x:v>
      </x:c>
      <x:c r="I14" s="13" t="str">
        <x:v>예상경로 변경</x:v>
      </x:c>
    </x:row>
    <x:row r="15" ht="76" customHeight="1">
      <x:c r="A15" s="13" t="str">
        <x:v>N11</x:v>
      </x:c>
      <x:c r="B15" s="13" t="str">
        <x:v>성채</x:v>
      </x:c>
      <x:c r="C15" s="13" t="str">
        <x:v>종지기</x:v>
      </x:c>
      <x:c r="D15" s="13" t="str">
        <x:v>지원</x:v>
      </x:c>
      <x:c r="E15" s="13" t="n">
        <x:v>1.1</x:v>
      </x:c>
      <x:c r="F15" s="13" t="n">
        <x:v>0.4</x:v>
      </x:c>
      <x:c r="G15" s="13" t="n">
        <x:v>2</x:v>
      </x:c>
      <x:c r="H15" s="13" t="str">
        <x:v>반경4m 아군공격+20%, 사망 시 즉시 해제</x:v>
      </x:c>
      <x:c r="I15" s="13" t="str">
        <x:v>지원형 제거로 위협 감소</x:v>
      </x:c>
    </x:row>
    <x:row r="16" ht="76" customHeight="1">
      <x:c r="A16" s="13" t="str">
        <x:v>N12</x:v>
      </x:c>
      <x:c r="B16" s="13" t="str">
        <x:v>성채</x:v>
      </x:c>
      <x:c r="C16" s="13" t="str">
        <x:v>균열 파편체</x:v>
      </x:c>
      <x:c r="D16" s="13" t="str">
        <x:v>사망 폭발</x:v>
      </x:c>
      <x:c r="E16" s="13" t="n">
        <x:v>0.65</x:v>
      </x:c>
      <x:c r="F16" s="13" t="n">
        <x:v>0.7</x:v>
      </x:c>
      <x:c r="G16" s="13" t="n">
        <x:v>3</x:v>
      </x:c>
      <x:c r="H16" s="13" t="str">
        <x:v>사망0.9초 뒤 전방3방향 파편</x:v>
      </x:c>
      <x:c r="I16" s="13" t="str">
        <x:v>처치 위치/사선 관리</x:v>
      </x:c>
    </x:row>
  </x:sheetData>
  <x:mergeCells>
    <x:mergeCell ref="A1:I1"/>
    <x:mergeCell ref="A2:I2"/>
  </x:mergeCells>
  <x:pageMargins left="0.7" right="0.7" top="0.75" bottom="0.75" header="0.3" footer="0.3"/>
  <x:tableParts count="1">
    <x:tablePart xmlns:r="http://schemas.openxmlformats.org/officeDocument/2006/relationships" r:id="Rc85aeb07ddd5428c"/>
  </x:tableParts>
</x:worksheet>
</file>

<file path=xl/worksheets/sheet16.xml><?xml version="1.0" encoding="utf-8"?>
<x:worksheet xmlns:x="http://schemas.openxmlformats.org/spreadsheetml/2006/main">
  <x:sheetFormatPr defaultRowHeight="15"/>
  <x:cols>
    <x:col min="1" max="1" width="12" hidden="0" customWidth="1"/>
    <x:col min="2" max="2" width="22" hidden="0" customWidth="1"/>
    <x:col min="3" max="3" width="42" hidden="0" customWidth="1"/>
    <x:col min="4" max="4" width="42" hidden="0" customWidth="1"/>
  </x:cols>
  <x:sheetData>
    <x:row r="1" ht="30" customHeight="1">
      <x:c r="A1" s="3" t="str">
        <x:v>HELLSCRIPT 0.1  |  정예6</x:v>
      </x:c>
      <x:c r="B1" s="3"/>
      <x:c r="C1" s="3"/>
      <x:c r="D1" s="3"/>
    </x:row>
    <x:row r="2" ht="38" customHeight="1">
      <x:c r="A2" s="8" t="str">
        <x:v>신규 설계: 테스트 초안. 실제 플레이 검증 전.</x:v>
      </x:c>
      <x:c r="B2" s="8"/>
      <x:c r="C2" s="8"/>
      <x:c r="D2" s="8"/>
    </x:row>
    <x:row r="4" ht="32" customHeight="1">
      <x:c r="A4" s="18" t="str">
        <x:v>ID</x:v>
      </x:c>
      <x:c r="B4" s="18" t="str">
        <x:v>특성</x:v>
      </x:c>
      <x:c r="C4" s="18" t="str">
        <x:v>실제 효과</x:v>
      </x:c>
      <x:c r="D4" s="18" t="str">
        <x:v>대응</x:v>
      </x:c>
    </x:row>
    <x:row r="5" ht="76" customHeight="1">
      <x:c r="A5" s="13" t="str">
        <x:v>E01</x:v>
      </x:c>
      <x:c r="B5" s="13" t="str">
        <x:v>추적 화염</x:v>
      </x:c>
      <x:c r="C5" s="13" t="str">
        <x:v>5초마다 발밑에1초 예고 후3초 화염장판</x:v>
      </x:c>
      <x:c r="D5" s="13" t="str">
        <x:v>위험 지역 이탈 / 같은자리 고수의 비용</x:v>
      </x:c>
    </x:row>
    <x:row r="6" ht="76" customHeight="1">
      <x:c r="A6" s="13" t="str">
        <x:v>E02</x:v>
      </x:c>
      <x:c r="B6" s="13" t="str">
        <x:v>얼음 고리</x:v>
      </x:c>
      <x:c r="C6" s="13" t="str">
        <x:v>8초마다1.5초 예고 후 반경2~4m 고리폭발·둔화</x:v>
      </x:c>
      <x:c r="D6" s="13" t="str">
        <x:v>중심·고리밖 이동 구분</x:v>
      </x:c>
    </x:row>
    <x:row r="7" ht="76" customHeight="1">
      <x:c r="A7" s="13" t="str">
        <x:v>E03</x:v>
      </x:c>
      <x:c r="B7" s="13" t="str">
        <x:v>생명 연결</x:v>
      </x:c>
      <x:c r="C7" s="13" t="str">
        <x:v>다른 정예1명과 연결; 가까울 때 받는피해20% 감소</x:v>
      </x:c>
      <x:c r="D7" s="13" t="str">
        <x:v>타깃 집중 또는 분리</x:v>
      </x:c>
    </x:row>
    <x:row r="8" ht="76" customHeight="1">
      <x:c r="A8" s="13" t="str">
        <x:v>E04</x:v>
      </x:c>
      <x:c r="B8" s="13" t="str">
        <x:v>사격 방벽</x:v>
      </x:c>
      <x:c r="C8" s="13" t="str">
        <x:v>전방120도에서 받는 투사체 피해50% 감소</x:v>
      </x:c>
      <x:c r="D8" s="13" t="str">
        <x:v>후방 선회 / 근접 진입</x:v>
      </x:c>
    </x:row>
    <x:row r="9" ht="76" customHeight="1">
      <x:c r="A9" s="13" t="str">
        <x:v>E05</x:v>
      </x:c>
      <x:c r="B9" s="13" t="str">
        <x:v>시체 폭발</x:v>
      </x:c>
      <x:c r="C9" s="13" t="str">
        <x:v>주변 일반몹 사체를1.2초 예고 후 폭발</x:v>
      </x:c>
      <x:c r="D9" s="13" t="str">
        <x:v>처치 이후 위치 재평가</x:v>
      </x:c>
    </x:row>
    <x:row r="10" ht="76" customHeight="1">
      <x:c r="A10" s="13" t="str">
        <x:v>E06</x:v>
      </x:c>
      <x:c r="B10" s="13" t="str">
        <x:v>분노 축적</x:v>
      </x:c>
      <x:c r="C10" s="13" t="str">
        <x:v>살아 있는 동안10초마다 공격+10%, 최대50%</x:v>
      </x:c>
      <x:c r="D10" s="13" t="str">
        <x:v>정예 우선 / 화력 집중</x:v>
      </x:c>
    </x:row>
  </x:sheetData>
  <x:mergeCells>
    <x:mergeCell ref="A1:D1"/>
    <x:mergeCell ref="A2:D2"/>
  </x:mergeCells>
  <x:pageMargins left="0.7" right="0.7" top="0.75" bottom="0.75" header="0.3" footer="0.3"/>
  <x:tableParts count="1">
    <x:tablePart xmlns:r="http://schemas.openxmlformats.org/officeDocument/2006/relationships" r:id="R062e4529ea6c41bd"/>
  </x:tableParts>
</x:worksheet>
</file>

<file path=xl/worksheets/sheet17.xml><?xml version="1.0" encoding="utf-8"?>
<x:worksheet xmlns:x="http://schemas.openxmlformats.org/spreadsheetml/2006/main">
  <x:sheetFormatPr defaultRowHeight="15"/>
  <x:cols>
    <x:col min="1" max="1" width="14" hidden="0" customWidth="1"/>
    <x:col min="2" max="2" width="24" hidden="0" customWidth="1"/>
    <x:col min="3" max="3" width="16" hidden="0" customWidth="1"/>
    <x:col min="4" max="4" width="16" hidden="0" customWidth="1"/>
    <x:col min="5" max="5" width="42" hidden="0" customWidth="1"/>
    <x:col min="6" max="6" width="42" hidden="0" customWidth="1"/>
    <x:col min="7" max="7" width="42" hidden="0" customWidth="1"/>
    <x:col min="8" max="8" width="42" hidden="0" customWidth="1"/>
  </x:cols>
  <x:sheetData>
    <x:row r="1" ht="30" customHeight="1">
      <x:c r="A1" s="3" t="str">
        <x:v>HELLSCRIPT 0.1  |  보스3</x:v>
      </x:c>
      <x:c r="B1" s="3"/>
      <x:c r="C1" s="3"/>
      <x:c r="D1" s="3"/>
      <x:c r="E1" s="3"/>
      <x:c r="F1" s="3"/>
      <x:c r="G1" s="3"/>
      <x:c r="H1" s="3"/>
    </x:row>
    <x:row r="2" ht="38" customHeight="1">
      <x:c r="A2" s="8" t="str">
        <x:v>신규 설계: 테스트 초안. 실제 플레이 검증 전.</x:v>
      </x:c>
      <x:c r="B2" s="8"/>
      <x:c r="C2" s="8"/>
      <x:c r="D2" s="8"/>
      <x:c r="E2" s="8"/>
      <x:c r="F2" s="8"/>
      <x:c r="G2" s="8"/>
      <x:c r="H2" s="8"/>
    </x:row>
    <x:row r="4" ht="32" customHeight="1">
      <x:c r="A4" s="18" t="str">
        <x:v>ID</x:v>
      </x:c>
      <x:c r="B4" s="18" t="str">
        <x:v>보스</x:v>
      </x:c>
      <x:c r="C4" s="18" t="str">
        <x:v>추가HP배수</x:v>
      </x:c>
      <x:c r="D4" s="18" t="str">
        <x:v>추가공격배수</x:v>
      </x:c>
      <x:c r="E4" s="18" t="str">
        <x:v>패턴1</x:v>
      </x:c>
      <x:c r="F4" s="18" t="str">
        <x:v>패턴2</x:v>
      </x:c>
      <x:c r="G4" s="18" t="str">
        <x:v>후반 변화</x:v>
      </x:c>
      <x:c r="H4" s="18" t="str">
        <x:v>검증 과제</x:v>
      </x:c>
    </x:row>
    <x:row r="5" ht="76" customHeight="1">
      <x:c r="A5" s="13" t="str">
        <x:v>BOSS01</x:v>
      </x:c>
      <x:c r="B5" s="13" t="str">
        <x:v>묘지의 집행자</x:v>
      </x:c>
      <x:c r="C5" s="13" t="n">
        <x:v>1</x:v>
      </x:c>
      <x:c r="D5" s="13" t="n">
        <x:v>1</x:v>
      </x:c>
      <x:c r="E5" s="13" t="str">
        <x:v>전방120도 내려찍기: 6초CD,1.2초 예고,공격×2</x:v>
      </x:c>
      <x:c r="F5" s="13" t="str">
        <x:v>갈고리: 9초CD,1초 예고 직선 투사체; 적중 끌어옴2m</x:v>
      </x:c>
      <x:c r="G5" s="13" t="str">
        <x:v>체력50%부터 내려찍기 후0.7초 추가타</x:v>
      </x:c>
      <x:c r="H5" s="13" t="str">
        <x:v>근접 가장자리 선회 / 이동기 보존</x:v>
      </x:c>
    </x:row>
    <x:row r="6" ht="76" customHeight="1">
      <x:c r="A6" s="13" t="str">
        <x:v>BOSS02</x:v>
      </x:c>
      <x:c r="B6" s="13" t="str">
        <x:v>종말의 합창자</x:v>
      </x:c>
      <x:c r="C6" s="13" t="n">
        <x:v>0.85</x:v>
      </x:c>
      <x:c r="D6" s="13" t="n">
        <x:v>0.9</x:v>
      </x:c>
      <x:c r="E6" s="13" t="str">
        <x:v>부하4명 소환: 14초CD,처치점수·드롭 없음</x:v>
      </x:c>
      <x:c r="F6" s="13" t="str">
        <x:v>집중 광선: 8초CD,1.5초 예고 직선2초 유지</x:v>
      </x:c>
      <x:c r="G6" s="13" t="str">
        <x:v>부하 존재 시 보스 피해감소20%; 보스 자신은 이동 적음</x:v>
      </x:c>
      <x:c r="H6" s="13" t="str">
        <x:v>지원형·부하 우선 / 광역기 / 단일화력 전환</x:v>
      </x:c>
    </x:row>
    <x:row r="7" ht="76" customHeight="1">
      <x:c r="A7" s="13" t="str">
        <x:v>BOSS03</x:v>
      </x:c>
      <x:c r="B7" s="13" t="str">
        <x:v>균열의 포식자</x:v>
      </x:c>
      <x:c r="C7" s="13" t="n">
        <x:v>1.1</x:v>
      </x:c>
      <x:c r="D7" s="13" t="n">
        <x:v>1.1</x:v>
      </x:c>
      <x:c r="E7" s="13" t="str">
        <x:v>돌진: 7초CD,1초 예고,최대8m</x:v>
      </x:c>
      <x:c r="F7" s="13" t="str">
        <x:v>연속 폭발: 12초CD,1.3초 예고 안전 구역2개 이상 보장</x:v>
      </x:c>
      <x:c r="G7" s="13" t="str">
        <x:v>체력50%부터 돌진2연속; 두 번째 방향은 재예고0.8초</x:v>
      </x:c>
      <x:c r="H7" s="13" t="str">
        <x:v>위험도 최소 지점 / 거리 유지 / 연속 회피</x:v>
      </x:c>
    </x:row>
  </x:sheetData>
  <x:mergeCells>
    <x:mergeCell ref="A1:H1"/>
    <x:mergeCell ref="A2:H2"/>
  </x:mergeCells>
  <x:pageMargins left="0.7" right="0.7" top="0.75" bottom="0.75" header="0.3" footer="0.3"/>
  <x:tableParts count="1">
    <x:tablePart xmlns:r="http://schemas.openxmlformats.org/officeDocument/2006/relationships" r:id="R2d7465c4bd624822"/>
  </x:tableParts>
</x:worksheet>
</file>

<file path=xl/worksheets/sheet18.xml><?xml version="1.0" encoding="utf-8"?>
<x:worksheet xmlns:x="http://schemas.openxmlformats.org/spreadsheetml/2006/main">
  <x:sheetFormatPr defaultRowHeight="15"/>
  <x:cols>
    <x:col min="1" max="1" width="12" hidden="0" customWidth="1"/>
    <x:col min="2" max="2" width="12" hidden="0" customWidth="1"/>
    <x:col min="3" max="3" width="24" hidden="0" customWidth="1"/>
    <x:col min="4" max="4" width="14" hidden="0" customWidth="1"/>
    <x:col min="5" max="5" width="20" hidden="0" customWidth="1"/>
    <x:col min="6" max="6" width="42" hidden="0" customWidth="1"/>
    <x:col min="7" max="7" width="35" hidden="0" customWidth="1"/>
  </x:cols>
  <x:sheetData>
    <x:row r="1" ht="30" customHeight="1">
      <x:c r="A1" s="3" t="str">
        <x:v>HELLSCRIPT 0.1  |  방12</x:v>
      </x:c>
      <x:c r="B1" s="3"/>
      <x:c r="C1" s="3"/>
      <x:c r="D1" s="3"/>
      <x:c r="E1" s="3"/>
      <x:c r="F1" s="3"/>
      <x:c r="G1" s="3"/>
    </x:row>
    <x:row r="2" ht="38" customHeight="1">
      <x:c r="A2" s="8" t="str">
        <x:v>신규 설계: 테스트 초안. 실제 플레이 검증 전.</x:v>
      </x:c>
      <x:c r="B2" s="8"/>
      <x:c r="C2" s="8"/>
      <x:c r="D2" s="8"/>
      <x:c r="E2" s="8"/>
      <x:c r="F2" s="8"/>
      <x:c r="G2" s="8"/>
    </x:row>
    <x:row r="4" ht="32" customHeight="1">
      <x:c r="A4" s="18" t="str">
        <x:v>ID</x:v>
      </x:c>
      <x:c r="B4" s="18" t="str">
        <x:v>테마</x:v>
      </x:c>
      <x:c r="C4" s="18" t="str">
        <x:v>방</x:v>
      </x:c>
      <x:c r="D4" s="18" t="str">
        <x:v>연결구수</x:v>
      </x:c>
      <x:c r="E4" s="18" t="str">
        <x:v>크기초안</x:v>
      </x:c>
      <x:c r="F4" s="18" t="str">
        <x:v>지형</x:v>
      </x:c>
      <x:c r="G4" s="18" t="str">
        <x:v>주요용도</x:v>
      </x:c>
    </x:row>
    <x:row r="5" ht="76" customHeight="1">
      <x:c r="A5" s="13" t="str">
        <x:v>RM01</x:v>
      </x:c>
      <x:c r="B5" s="13" t="str">
        <x:v>묘지</x:v>
      </x:c>
      <x:c r="C5" s="13" t="str">
        <x:v>둥근 납골실</x:v>
      </x:c>
      <x:c r="D5" s="13" t="n">
        <x:v>2</x:v>
      </x:c>
      <x:c r="E5" s="13" t="str">
        <x:v>16×16m</x:v>
      </x:c>
      <x:c r="F5" s="13" t="str">
        <x:v>기둥2개·중앙 개방</x:v>
      </x:c>
      <x:c r="G5" s="13" t="str">
        <x:v>근접 선회</x:v>
      </x:c>
    </x:row>
    <x:row r="6" ht="76" customHeight="1">
      <x:c r="A6" s="13" t="str">
        <x:v>RM02</x:v>
      </x:c>
      <x:c r="B6" s="13" t="str">
        <x:v>묘지</x:v>
      </x:c>
      <x:c r="C6" s="13" t="str">
        <x:v>십자 회랑</x:v>
      </x:c>
      <x:c r="D6" s="13" t="n">
        <x:v>4</x:v>
      </x:c>
      <x:c r="E6" s="13" t="str">
        <x:v>20×20m</x:v>
      </x:c>
      <x:c r="F6" s="13" t="str">
        <x:v>교차로 중앙 개방</x:v>
      </x:c>
      <x:c r="G6" s="13" t="str">
        <x:v>탐색 방향</x:v>
      </x:c>
    </x:row>
    <x:row r="7" ht="76" customHeight="1">
      <x:c r="A7" s="13" t="str">
        <x:v>RM03</x:v>
      </x:c>
      <x:c r="B7" s="13" t="str">
        <x:v>묘지</x:v>
      </x:c>
      <x:c r="C7" s="13" t="str">
        <x:v>이중 묘역</x:v>
      </x:c>
      <x:c r="D7" s="13" t="n">
        <x:v>2</x:v>
      </x:c>
      <x:c r="E7" s="13" t="str">
        <x:v>24×16m</x:v>
      </x:c>
      <x:c r="F7" s="13" t="str">
        <x:v>두 무리와 중간 연결</x:v>
      </x:c>
      <x:c r="G7" s="13" t="str">
        <x:v>다음 무리 진입</x:v>
      </x:c>
    </x:row>
    <x:row r="8" ht="76" customHeight="1">
      <x:c r="A8" s="13" t="str">
        <x:v>RM04</x:v>
      </x:c>
      <x:c r="B8" s="13" t="str">
        <x:v>묘지</x:v>
      </x:c>
      <x:c r="C8" s="13" t="str">
        <x:v>곡선 장례길</x:v>
      </x:c>
      <x:c r="D8" s="13" t="n">
        <x:v>2</x:v>
      </x:c>
      <x:c r="E8" s="13" t="str">
        <x:v>24×12m</x:v>
      </x:c>
      <x:c r="F8" s="13" t="str">
        <x:v>완만한 곡선·시야선 변화</x:v>
      </x:c>
      <x:c r="G8" s="13" t="str">
        <x:v>원거리 표적 발견</x:v>
      </x:c>
    </x:row>
    <x:row r="9" ht="76" customHeight="1">
      <x:c r="A9" s="13" t="str">
        <x:v>RM05</x:v>
      </x:c>
      <x:c r="B9" s="13" t="str">
        <x:v>묘지</x:v>
      </x:c>
      <x:c r="C9" s="13" t="str">
        <x:v>침수 제단</x:v>
      </x:c>
      <x:c r="D9" s="13" t="n">
        <x:v>3</x:v>
      </x:c>
      <x:c r="E9" s="13" t="str">
        <x:v>20×20m</x:v>
      </x:c>
      <x:c r="F9" s="13" t="str">
        <x:v>원형 장애물 외곽 연결</x:v>
      </x:c>
      <x:c r="G9" s="13" t="str">
        <x:v>군집 가장자리</x:v>
      </x:c>
    </x:row>
    <x:row r="10" ht="76" customHeight="1">
      <x:c r="A10" s="13" t="str">
        <x:v>RM06</x:v>
      </x:c>
      <x:c r="B10" s="13" t="str">
        <x:v>묘지</x:v>
      </x:c>
      <x:c r="C10" s="13" t="str">
        <x:v>망자의 광장</x:v>
      </x:c>
      <x:c r="D10" s="13" t="n">
        <x:v>4</x:v>
      </x:c>
      <x:c r="E10" s="13" t="str">
        <x:v>24×24m</x:v>
      </x:c>
      <x:c r="F10" s="13" t="str">
        <x:v>중앙 큰 전투 공간</x:v>
      </x:c>
      <x:c r="G10" s="13" t="str">
        <x:v>보스 가능</x:v>
      </x:c>
    </x:row>
    <x:row r="11" ht="76" customHeight="1">
      <x:c r="A11" s="13" t="str">
        <x:v>RM07</x:v>
      </x:c>
      <x:c r="B11" s="13" t="str">
        <x:v>성채</x:v>
      </x:c>
      <x:c r="C11" s="13" t="str">
        <x:v>무너진 병영</x:v>
      </x:c>
      <x:c r="D11" s="13" t="n">
        <x:v>2</x:v>
      </x:c>
      <x:c r="E11" s="13" t="str">
        <x:v>20×16m</x:v>
      </x:c>
      <x:c r="F11" s="13" t="str">
        <x:v>잔해를 양쪽으로 우회</x:v>
      </x:c>
      <x:c r="G11" s="13" t="str">
        <x:v>경로 비교</x:v>
      </x:c>
    </x:row>
    <x:row r="12" ht="76" customHeight="1">
      <x:c r="A12" s="13" t="str">
        <x:v>RM08</x:v>
      </x:c>
      <x:c r="B12" s="13" t="str">
        <x:v>성채</x:v>
      </x:c>
      <x:c r="C12" s="13" t="str">
        <x:v>순환 성벽길</x:v>
      </x:c>
      <x:c r="D12" s="13" t="n">
        <x:v>2</x:v>
      </x:c>
      <x:c r="E12" s="13" t="str">
        <x:v>24×16m</x:v>
      </x:c>
      <x:c r="F12" s="13" t="str">
        <x:v>폐곡선 연결</x:v>
      </x:c>
      <x:c r="G12" s="13" t="str">
        <x:v>벽 따라가기 복구</x:v>
      </x:c>
    </x:row>
    <x:row r="13" ht="76" customHeight="1">
      <x:c r="A13" s="13" t="str">
        <x:v>RM09</x:v>
      </x:c>
      <x:c r="B13" s="13" t="str">
        <x:v>성채</x:v>
      </x:c>
      <x:c r="C13" s="13" t="str">
        <x:v>쌍문 무기고</x:v>
      </x:c>
      <x:c r="D13" s="13" t="n">
        <x:v>3</x:v>
      </x:c>
      <x:c r="E13" s="13" t="str">
        <x:v>20×20m</x:v>
      </x:c>
      <x:c r="F13" s="13" t="str">
        <x:v>지형 양쪽 진입로</x:v>
      </x:c>
      <x:c r="G13" s="13" t="str">
        <x:v>관통 사선</x:v>
      </x:c>
    </x:row>
    <x:row r="14" ht="76" customHeight="1">
      <x:c r="A14" s="13" t="str">
        <x:v>RM10</x:v>
      </x:c>
      <x:c r="B14" s="13" t="str">
        <x:v>성채</x:v>
      </x:c>
      <x:c r="C14" s="13" t="str">
        <x:v>화로 뜰</x:v>
      </x:c>
      <x:c r="D14" s="13" t="n">
        <x:v>3</x:v>
      </x:c>
      <x:c r="E14" s="13" t="str">
        <x:v>20×20m</x:v>
      </x:c>
      <x:c r="F14" s="13" t="str">
        <x:v>장식 화로는 비위험</x:v>
      </x:c>
      <x:c r="G14" s="13" t="str">
        <x:v>장판 가독성</x:v>
      </x:c>
    </x:row>
    <x:row r="15" ht="76" customHeight="1">
      <x:c r="A15" s="13" t="str">
        <x:v>RM11</x:v>
      </x:c>
      <x:c r="B15" s="13" t="str">
        <x:v>성채</x:v>
      </x:c>
      <x:c r="C15" s="13" t="str">
        <x:v>갈라진 대홀</x:v>
      </x:c>
      <x:c r="D15" s="13" t="n">
        <x:v>4</x:v>
      </x:c>
      <x:c r="E15" s="13" t="str">
        <x:v>24×24m</x:v>
      </x:c>
      <x:c r="F15" s="13" t="str">
        <x:v>낮은 장애물·넓은 외곽</x:v>
      </x:c>
      <x:c r="G15" s="13" t="str">
        <x:v>회피 경로</x:v>
      </x:c>
    </x:row>
    <x:row r="16" ht="76" customHeight="1">
      <x:c r="A16" s="13" t="str">
        <x:v>RM12</x:v>
      </x:c>
      <x:c r="B16" s="13" t="str">
        <x:v>성채</x:v>
      </x:c>
      <x:c r="C16" s="13" t="str">
        <x:v>폐왕의 광장</x:v>
      </x:c>
      <x:c r="D16" s="13" t="n">
        <x:v>4</x:v>
      </x:c>
      <x:c r="E16" s="13" t="str">
        <x:v>26×26m</x:v>
      </x:c>
      <x:c r="F16" s="13" t="str">
        <x:v>장애물 적은 큰 공간</x:v>
      </x:c>
      <x:c r="G16" s="13" t="str">
        <x:v>보스 가능</x:v>
      </x:c>
    </x:row>
  </x:sheetData>
  <x:mergeCells>
    <x:mergeCell ref="A1:G1"/>
    <x:mergeCell ref="A2:G2"/>
  </x:mergeCells>
  <x:pageMargins left="0.7" right="0.7" top="0.75" bottom="0.75" header="0.3" footer="0.3"/>
  <x:tableParts count="1">
    <x:tablePart xmlns:r="http://schemas.openxmlformats.org/officeDocument/2006/relationships" r:id="Rb973d5f92d1744a8"/>
  </x:tableParts>
</x:worksheet>
</file>

<file path=xl/worksheets/sheet19.xml><?xml version="1.0" encoding="utf-8"?>
<x:worksheet xmlns:x="http://schemas.openxmlformats.org/spreadsheetml/2006/main">
  <x:sheetFormatPr defaultRowHeight="15"/>
  <x:cols>
    <x:col min="1" max="1" width="12" hidden="0" customWidth="1"/>
    <x:col min="2" max="2" width="25" hidden="0" customWidth="1"/>
    <x:col min="3" max="3" width="42" hidden="0" customWidth="1"/>
    <x:col min="4" max="4" width="22" hidden="0" customWidth="1"/>
    <x:col min="5" max="5" width="42" hidden="0" customWidth="1"/>
  </x:cols>
  <x:sheetData>
    <x:row r="1" ht="30" customHeight="1">
      <x:c r="A1" s="3" t="str">
        <x:v>HELLSCRIPT 0.1  |  경제보상</x:v>
      </x:c>
      <x:c r="B1" s="3"/>
      <x:c r="C1" s="3"/>
      <x:c r="D1" s="3"/>
      <x:c r="E1" s="3"/>
    </x:row>
    <x:row r="2" ht="38" customHeight="1">
      <x:c r="A2" s="8" t="str">
        <x:v>신규 설계: 테스트 초안. 실제 플레이 검증 전.</x:v>
      </x:c>
      <x:c r="B2" s="8"/>
      <x:c r="C2" s="8"/>
      <x:c r="D2" s="8"/>
      <x:c r="E2" s="8"/>
    </x:row>
    <x:row r="4" ht="32" customHeight="1">
      <x:c r="A4" s="18" t="str">
        <x:v>ID</x:v>
      </x:c>
      <x:c r="B4" s="18" t="str">
        <x:v>항목</x:v>
      </x:c>
      <x:c r="C4" s="18" t="str">
        <x:v>규칙·초기 수치</x:v>
      </x:c>
      <x:c r="D4" s="18" t="str">
        <x:v>상태</x:v>
      </x:c>
      <x:c r="E4" s="18" t="str">
        <x:v>예외</x:v>
      </x:c>
    </x:row>
    <x:row r="5" ht="76" customHeight="1">
      <x:c r="A5" s="13" t="str">
        <x:v>EC01</x:v>
      </x:c>
      <x:c r="B5" s="13" t="str">
        <x:v>일반 드롭</x:v>
      </x:c>
      <x:c r="C5" s="13" t="str">
        <x:v>장비드롭 자체 2% 유지; 드롭 시 1단계 일반55/마법25/레어19/전설1%. 현재 전투 R의 등급 확률은 24_균열등급확률 참조</x:v>
      </x:c>
      <x:c r="D5" s="13" t="str">
        <x:v>테스트 초안</x:v>
      </x:c>
      <x:c r="E5" s="13" t="str">
        <x:v>전설 상한10%, K=49의 테스트 초안. 비전설 비율55:25:19 유지. 최고클리어 기록으로 현재 저단계 확률을 높이지 않음</x:v>
      </x:c>
    </x:row>
    <x:row r="6" ht="76" customHeight="1">
      <x:c r="A6" s="13" t="str">
        <x:v>EC02</x:v>
      </x:c>
      <x:c r="B6" s="13" t="str">
        <x:v>정예 드롭</x:v>
      </x:c>
      <x:c r="C6" s="13" t="str">
        <x:v>장비1회 추첨 유지; 1단계 마법60/레어35/전설5%. 현재 전투 R의 정예 확률 적용</x:v>
      </x:c>
      <x:c r="D6" s="13" t="str">
        <x:v>테스트 초안</x:v>
      </x:c>
      <x:c r="E6" s="13" t="str">
        <x:v>전설 상한25%, 비전설 비율60:35 유지. 일반 등급 없음. 정예 HP×3·공격×1.5; 점수5 유지</x:v>
      </x:c>
    </x:row>
    <x:row r="7" ht="76" customHeight="1">
      <x:c r="A7" s="13" t="str">
        <x:v>EC03</x:v>
      </x:c>
      <x:c r="B7" s="13" t="str">
        <x:v>보스 보상</x:v>
      </x:c>
      <x:c r="C7" s="13" t="str">
        <x:v>장비3회 추첨 유지; 각 회 1단계 레어85/전설15%, 이후 현재 전투 R의 보스 확률 적용. 골드800+50R, 일반재료5+floor(R/5) 유지</x:v>
      </x:c>
      <x:c r="D7" s="13" t="str">
        <x:v>테스트 초안</x:v>
      </x:c>
      <x:c r="E7" s="13" t="str">
        <x:v>전설 상한45%. 일반·마법 없음. 보스·완료 보상은 같은 묶음이며 이중지급 금지. 전설≥1 확률=1-(1-p)^3</x:v>
      </x:c>
    </x:row>
    <x:row r="8" ht="76" customHeight="1">
      <x:c r="A8" s="13" t="str">
        <x:v>EC04</x:v>
      </x:c>
      <x:c r="B8" s="13" t="str">
        <x:v>단계 아이템레벨</x:v>
      </x:c>
      <x:c r="C8" s="13" t="str">
        <x:v>드롭 max(1,R-2)~R+2; 코어제작·상점은 영웅 최고클리어R</x:v>
      </x:c>
      <x:c r="D8" s="13" t="str">
        <x:v>테스트 초안</x:v>
      </x:c>
      <x:c r="E8" s="13" t="str">
        <x:v>레벨 요구=min(30,ceil(아이템레벨/2)); 1단 보정 유지. 단계별 등급 보정은 코어제작·상점·기본제작 제외</x:v>
      </x:c>
    </x:row>
    <x:row r="9" ht="76" customHeight="1">
      <x:c r="A9" s="13" t="str">
        <x:v>EC05</x:v>
      </x:c>
      <x:c r="B9" s="13" t="str">
        <x:v>전설 구성원 추첨</x:v>
      </x:c>
      <x:c r="C9" s="13" t="str">
        <x:v>선택한 부위·직업·세트 허용 후보에서 개별가중치/합산가중치</x:v>
      </x:c>
      <x:c r="D9" s="13" t="str">
        <x:v>테스트 초안</x:v>
      </x:c>
      <x:c r="E9" s="13" t="str">
        <x:v>각 영웅·부위에 가중치100 후보 최소1개. 모든 획득경로 공통. 세트 포함·기존 조건과 개별가중치 유지; 극희귀 추가 보정 없음</x:v>
      </x:c>
    </x:row>
    <x:row r="10" ht="76" customHeight="1">
      <x:c r="A10" s="13" t="str">
        <x:v>EC06</x:v>
      </x:c>
      <x:c r="B10" s="13" t="str">
        <x:v>전설 분해</x:v>
      </x:c>
      <x:c r="C10" s="13" t="str">
        <x:v>전설1개→그 부위 코어1개</x:v>
      </x:c>
      <x:c r="D10" s="13" t="str">
        <x:v>사용자 확정</x:v>
      </x:c>
      <x:c r="E10" s="13" t="str">
        <x:v>세트 포함 / 장착 보석은 먼저 반환</x:v>
      </x:c>
    </x:row>
    <x:row r="11" ht="76" customHeight="1">
      <x:c r="A11" s="13" t="str">
        <x:v>EC07</x:v>
      </x:c>
      <x:c r="B11" s="13" t="str">
        <x:v>코어 제작</x:v>
      </x:c>
      <x:c r="C11" s="13" t="str">
        <x:v>동일 부위 코어10개→해당 영웅이 쓸 수 있는 전설1개</x:v>
      </x:c>
      <x:c r="D11" s="13" t="str">
        <x:v>사용자 확정</x:v>
      </x:c>
      <x:c r="E11" s="13" t="str">
        <x:v>부위 코어와 결과 지급을 같은 트랜잭션으로 처리</x:v>
      </x:c>
    </x:row>
    <x:row r="12" ht="76" customHeight="1">
      <x:c r="A12" s="13" t="str">
        <x:v>EC08</x:v>
      </x:c>
      <x:c r="B12" s="13" t="str">
        <x:v>물음표 상점</x:v>
      </x:c>
      <x:c r="C12" s="13" t="str">
        <x:v>부위 선택, 가격=500+50R 골드, 마법60/레어38/전설2%</x:v>
      </x:c>
      <x:c r="D12" s="13" t="str">
        <x:v>테스트 초안</x:v>
      </x:c>
      <x:c r="E12" s="13" t="str">
        <x:v>현금·유료재화 사용 없음 / 상시 재고</x:v>
      </x:c>
    </x:row>
    <x:row r="13" ht="76" customHeight="1">
      <x:c r="A13" s="13" t="str">
        <x:v>EC09</x:v>
      </x:c>
      <x:c r="B13" s="13" t="str">
        <x:v>강화</x:v>
      </x:c>
      <x:c r="C13" s="13" t="str">
        <x:v>0~5강; 단계당 주능력+5%, 랜덤옵션·전설효과 제외</x:v>
      </x:c>
      <x:c r="D13" s="13" t="str">
        <x:v>테스트 초안</x:v>
      </x:c>
      <x:c r="E13" s="13" t="str">
        <x:v>실패·파괴 없음</x:v>
      </x:c>
    </x:row>
    <x:row r="14" ht="76" customHeight="1">
      <x:c r="A14" s="13" t="str">
        <x:v>EC10</x:v>
      </x:c>
      <x:c r="B14" s="13" t="str">
        <x:v>강화 비용</x:v>
      </x:c>
      <x:c r="C14" s="13" t="str">
        <x:v>k강 비용=일반재료20×2^(k-1), 골드200×k×max(1,아이템레벨)</x:v>
      </x:c>
      <x:c r="D14" s="13" t="str">
        <x:v>테스트 초안</x:v>
      </x:c>
      <x:c r="E14" s="13" t="str">
        <x:v>k=1~5</x:v>
      </x:c>
    </x:row>
    <x:row r="15" ht="76" customHeight="1">
      <x:c r="A15" s="13" t="str">
        <x:v>EC11</x:v>
      </x:c>
      <x:c r="B15" s="13" t="str">
        <x:v>강화 반환</x:v>
      </x:c>
      <x:c r="C15" s="13" t="str">
        <x:v>분해 시 소비 일반재료80%회수, 골드 반환없음</x:v>
      </x:c>
      <x:c r="D15" s="13" t="str">
        <x:v>테스트 초안</x:v>
      </x:c>
      <x:c r="E15" s="13" t="str">
        <x:v>기본 분해재료·전설코어와 별도 산정</x:v>
      </x:c>
    </x:row>
    <x:row r="16" ht="76" customHeight="1">
      <x:c r="A16" s="13" t="str">
        <x:v>EC12</x:v>
      </x:c>
      <x:c r="B16" s="13" t="str">
        <x:v>옵션 재설정</x:v>
      </x:c>
      <x:c r="C16" s="13" t="str">
        <x:v>아이템당 한 줄 지정 후 고정. 이후 그 줄만 재추첨</x:v>
      </x:c>
      <x:c r="D16" s="13" t="str">
        <x:v>테스트 초안</x:v>
      </x:c>
      <x:c r="E16" s="13" t="str">
        <x:v>같은 옵션ID 중복금지 / 선택권 없이 결과 미리보기 금지</x:v>
      </x:c>
    </x:row>
    <x:row r="17" ht="110" customHeight="1">
      <x:c r="A17" s="13" t="str">
        <x:v>EC13</x:v>
      </x:c>
      <x:c r="B17" s="13" t="str">
        <x:v>재설정 비용</x:v>
      </x:c>
      <x:c r="C17" s="13" t="str">
        <x:v>500×L+50×L×(L-1) 골드
L=max(1,아이템레벨)
시도횟수와 무관하게 매회 동일 비용</x:v>
      </x:c>
      <x:c r="D17" s="13" t="str">
        <x:v>테스트 초안</x:v>
      </x:c>
      <x:c r="E17" s="13" t="str">
        <x:v>횟수 무관 고정·고레벨일수록 비용 격차 확대: 사용자 확정.
계수 500·50: 테스트 초안.
전설효과·세트소속 변경 안 됨</x:v>
      </x:c>
    </x:row>
    <x:row r="18" ht="76" customHeight="1">
      <x:c r="A18" s="13" t="str">
        <x:v>EC14</x:v>
      </x:c>
      <x:c r="B18" s="13" t="str">
        <x:v>기본 제작</x:v>
      </x:c>
      <x:c r="C18" s="13" t="str">
        <x:v>부위 선택 레어 장비1개. 일반재료50+골드500×max(1,R)</x:v>
      </x:c>
      <x:c r="D18" s="13" t="str">
        <x:v>테스트 초안</x:v>
      </x:c>
      <x:c r="E18" s="13" t="str">
        <x:v>코어제작과 다른 메뉴 / 세트·전설 없음</x:v>
      </x:c>
    </x:row>
    <x:row r="19" ht="76" customHeight="1">
      <x:c r="A19" s="13" t="str">
        <x:v>EC15</x:v>
      </x:c>
      <x:c r="B19" s="13" t="str">
        <x:v>오프라인 골드</x:v>
      </x:c>
      <x:c r="C19" s="13" t="str">
        <x:v>시간당200+40×계정 최고클리어 단계</x:v>
      </x:c>
      <x:c r="D19" s="13" t="str">
        <x:v>테스트 초안</x:v>
      </x:c>
      <x:c r="E19" s="13" t="str">
        <x:v>1단클리어 후 해금; 장비·경험치 없음</x:v>
      </x:c>
    </x:row>
    <x:row r="20" ht="76" customHeight="1">
      <x:c r="A20" s="13" t="str">
        <x:v>EC16</x:v>
      </x:c>
      <x:c r="B20" s="13" t="str">
        <x:v>오프라인 재료</x:v>
      </x:c>
      <x:c r="C20" s="13" t="str">
        <x:v>시간당5+floor(계정 최고클리어 단계/5) 일반재료</x:v>
      </x:c>
      <x:c r="D20" s="13" t="str">
        <x:v>테스트 초안</x:v>
      </x:c>
      <x:c r="E20" s="13" t="str">
        <x:v>서버경과초×시간당÷3600; 잔여 소수 누적</x:v>
      </x:c>
    </x:row>
    <x:row r="21" ht="76" customHeight="1">
      <x:c r="A21" s="13" t="str">
        <x:v>EC17</x:v>
      </x:c>
      <x:c r="B21" s="13" t="str">
        <x:v>오프라인 한도</x:v>
      </x:c>
      <x:c r="C21" s="13" t="str">
        <x:v>12시간, 계정단위</x:v>
      </x:c>
      <x:c r="D21" s="13" t="str">
        <x:v>테스트 초안</x:v>
      </x:c>
      <x:c r="E21" s="13" t="str">
        <x:v>PC 실제사냥 중 모바일 오프라인 중복누적 없음</x:v>
      </x:c>
    </x:row>
    <x:row r="22" ht="76" customHeight="1">
      <x:c r="A22" s="13" t="str">
        <x:v>EC18</x:v>
      </x:c>
      <x:c r="B22" s="13" t="str">
        <x:v>소탕</x:v>
      </x:c>
      <x:c r="C22" s="13" t="str">
        <x:v>해당 영웅 최고 실제클리어 단계의 EC03 보상1묶음. 그 단계의 보스 등급 확률로 장비3회 추첨</x:v>
      </x:c>
      <x:c r="D22" s="13" t="str">
        <x:v>사용자 확정</x:v>
      </x:c>
      <x:c r="E22" s="13" t="str">
        <x:v>최초클리어·일반몹드롭·실제전투로그 제외; 최고기록 갱신없음. 소탕만 별도 확률 우대 없음</x:v>
      </x:c>
    </x:row>
    <x:row r="23" ht="76" customHeight="1">
      <x:c r="A23" s="13" t="str">
        <x:v>EC19</x:v>
      </x:c>
      <x:c r="B23" s="13" t="str">
        <x:v>소탕 제한</x:v>
      </x:c>
      <x:c r="C23" s="13" t="str">
        <x:v>계정 일일3회 무료, UTC 00:00 재설정</x:v>
      </x:c>
      <x:c r="D23" s="13" t="str">
        <x:v>테스트 초안</x:v>
      </x:c>
      <x:c r="E23" s="13" t="str">
        <x:v>유료추가·광고 추가 없음 / 밸런스 및 서버 경계 테스트 필요</x:v>
      </x:c>
    </x:row>
    <x:row r="24" ht="76" customHeight="1">
      <x:c r="A24" s="13" t="str">
        <x:v>EC20</x:v>
      </x:c>
      <x:c r="B24" s="13" t="str">
        <x:v>소탕 공간부족</x:v>
      </x:c>
      <x:c r="C24" s="13" t="str">
        <x:v>같은 확정 보상을 미수령 상태로 보존, 추가 소탕 잠금</x:v>
      </x:c>
      <x:c r="D24" s="13" t="str">
        <x:v>테스트 초안</x:v>
      </x:c>
      <x:c r="E24" s="13" t="str">
        <x:v>다시 뽑기·취소·재접속으로 무료재추첨 금지. 확정 단계와 결과는 최고기록 갱신·다른 단계 진입으로 바뀌지 않음</x:v>
      </x:c>
    </x:row>
    <x:row r="25" ht="76" customHeight="1">
      <x:c r="A25" s="13" t="str">
        <x:v>EC21</x:v>
      </x:c>
      <x:c r="B25" s="13" t="str">
        <x:v>인벤토리 칸확장</x:v>
      </x:c>
      <x:c r="C25" s="13" t="str">
        <x:v>탭당 50→100,10칸씩; nth확장 골드5000×2^(n-1)</x:v>
      </x:c>
      <x:c r="D25" s="13" t="str">
        <x:v>테스트 초안</x:v>
      </x:c>
      <x:c r="E25" s="13" t="str">
        <x:v>영웅별 개별 구매 / 유료탭도50칸 시작</x:v>
      </x:c>
    </x:row>
    <x:row r="26" ht="76" customHeight="1">
      <x:c r="A26" s="13" t="str">
        <x:v>EC22</x:v>
      </x:c>
      <x:c r="B26" s="13" t="str">
        <x:v>탭 상품</x:v>
      </x:c>
      <x:c r="C26" s="13" t="str">
        <x:v>인벤토리2·3탭(영웅별), 창고3·4·5탭(계정)</x:v>
      </x:c>
      <x:c r="D26" s="13" t="str">
        <x:v>사용자 확정</x:v>
      </x:c>
      <x:c r="E26" s="13" t="str">
        <x:v>현금가격·유료재화 가격은 출시 전 별도 결정. 임의 확정하지 않음</x:v>
      </x:c>
    </x:row>
    <x:row r="27" ht="76" customHeight="1">
      <x:c r="A27" s="13" t="str">
        <x:v>EC23</x:v>
      </x:c>
      <x:c r="B27" s="13" t="str">
        <x:v>가치 비교</x:v>
      </x:c>
      <x:c r="C27" s="13" t="str">
        <x:v>보호 제외→등급→아이템레벨→판매가격→생성순</x:v>
      </x:c>
      <x:c r="D27" s="13" t="str">
        <x:v>사용자 확정</x:v>
      </x:c>
      <x:c r="E27" s="13" t="str">
        <x:v>최저가치 동률이면 더 오래된 것부터. 신규 아이템 포함</x:v>
      </x:c>
    </x:row>
    <x:row r="28" ht="76" customHeight="1">
      <x:c r="A28" s="13" t="str">
        <x:v>EC24</x:v>
      </x:c>
      <x:c r="B28" s="13" t="str">
        <x:v>골드 더미</x:v>
      </x:c>
      <x:c r="C28" s="13" t="str">
        <x:v>2m 이내 더미 자동 병합 후 최소량 필터 판정</x:v>
      </x:c>
      <x:c r="D28" s="13" t="str">
        <x:v>테스트 초안</x:v>
      </x:c>
      <x:c r="E28" s="13" t="str">
        <x:v>병합 전후 총량 보존 / 기본재화는 가방칸 미사용</x:v>
      </x:c>
    </x:row>
    <x:row r="29" ht="76" customHeight="1">
      <x:c r="A29" s="13" t="str">
        <x:v>EC25</x:v>
      </x:c>
      <x:c r="B29" s="13" t="str">
        <x:v>일반 재료 분해</x:v>
      </x:c>
      <x:c r="C29" s="13" t="str">
        <x:v>일반1·마법2·레어5 일반재료</x:v>
      </x:c>
      <x:c r="D29" s="13" t="str">
        <x:v>테스트 초안</x:v>
      </x:c>
      <x:c r="E29" s="13" t="str">
        <x:v>전설은 코어1; 강화재료 회수는 별도</x:v>
      </x:c>
    </x:row>
    <x:row r="30" ht="76" customHeight="1">
      <x:c r="A30" s="13" t="str">
        <x:v>EC26</x:v>
      </x:c>
      <x:c r="B30" s="13" t="str">
        <x:v>판매가격</x:v>
      </x:c>
      <x:c r="C30" s="13" t="str">
        <x:v>일반20·마법40·레어80·전설200 × max(1,아이템레벨) 골드</x:v>
      </x:c>
      <x:c r="D30" s="13" t="str">
        <x:v>테스트 초안</x:v>
      </x:c>
      <x:c r="E30" s="13" t="str">
        <x:v>세트는 전설가격. 보호정책 적용</x:v>
      </x:c>
    </x:row>
  </x:sheetData>
  <x:mergeCells>
    <x:mergeCell ref="A1:E1"/>
    <x:mergeCell ref="A2:E2"/>
  </x:mergeCells>
  <x:dataValidations count="1">
    <x:dataValidation type="list" sqref="D5:D30">
      <x:formula1>"사용자 확정,사용자 승인 초기값,테스트 초안,외부대조"</x:formula1>
    </x:dataValidation>
  </x:dataValidations>
  <x:pageMargins left="0.7" right="0.7" top="0.75" bottom="0.75" header="0.3" footer="0.3"/>
  <x:tableParts count="1">
    <x:tablePart xmlns:r="http://schemas.openxmlformats.org/officeDocument/2006/relationships" r:id="Rd5162b605fe94801"/>
  </x:tableParts>
</x:worksheet>
</file>

<file path=xl/worksheets/sheet20.xml><?xml version="1.0" encoding="utf-8"?>
<x:worksheet xmlns:x="http://schemas.openxmlformats.org/spreadsheetml/2006/main">
  <x:sheetFormatPr defaultRowHeight="15"/>
  <x:cols>
    <x:col min="1" max="1" width="12" hidden="0" customWidth="1"/>
    <x:col min="2" max="2" width="18" hidden="0" customWidth="1"/>
    <x:col min="3" max="3" width="32" hidden="0" customWidth="1"/>
    <x:col min="4" max="4" width="34" hidden="0" customWidth="1"/>
    <x:col min="5" max="5" width="40" hidden="0" customWidth="1"/>
    <x:col min="6" max="6" width="40" hidden="0" customWidth="1"/>
    <x:col min="7" max="7" width="32" hidden="0" customWidth="1"/>
    <x:col min="8" max="8" width="40" hidden="0" customWidth="1"/>
    <x:col min="9" max="9" width="40" hidden="0" customWidth="1"/>
  </x:cols>
  <x:sheetData>
    <x:row r="1" ht="30" customHeight="1">
      <x:c r="A1" s="3" t="str">
        <x:v>HELLSCRIPT 0.1  |  보석참조</x:v>
      </x:c>
      <x:c r="B1" s="3"/>
      <x:c r="C1" s="3"/>
      <x:c r="D1" s="3"/>
      <x:c r="E1" s="3"/>
      <x:c r="F1" s="3"/>
      <x:c r="G1" s="3"/>
      <x:c r="H1" s="3"/>
      <x:c r="I1" s="3"/>
    </x:row>
    <x:row r="2" ht="38" customHeight="1">
      <x:c r="A2" s="8" t="str">
        <x:v>주의: 디아블로4 1:1 전체 복제가 검증된 표가 아님. 검증대기 값을 출시 수치로 사용 금지. 계보·현재 수치·소켓·제작은 별도 대조.</x:v>
      </x:c>
      <x:c r="B2" s="8"/>
      <x:c r="C2" s="8"/>
      <x:c r="D2" s="8"/>
      <x:c r="E2" s="8"/>
      <x:c r="F2" s="8"/>
      <x:c r="G2" s="8"/>
      <x:c r="H2" s="8"/>
      <x:c r="I2" s="8"/>
    </x:row>
    <x:row r="4" ht="32" customHeight="1">
      <x:c r="A4" s="18" t="str">
        <x:v>ID</x:v>
      </x:c>
      <x:c r="B4" s="18" t="str">
        <x:v>보석</x:v>
      </x:c>
      <x:c r="C4" s="18" t="str">
        <x:v>무기효과</x:v>
      </x:c>
      <x:c r="D4" s="18" t="str">
        <x:v>방어구효과_역사참조</x:v>
      </x:c>
      <x:c r="E4" s="18" t="str">
        <x:v>장신구효과_검증대기</x:v>
      </x:c>
      <x:c r="F4" s="18" t="str">
        <x:v>확인 범위</x:v>
      </x:c>
      <x:c r="G4" s="18" t="str">
        <x:v>출시 상태</x:v>
      </x:c>
      <x:c r="H4" s="18" t="str">
        <x:v>무기출처</x:v>
      </x:c>
      <x:c r="I4" s="18" t="str">
        <x:v>방어구출처</x:v>
      </x:c>
    </x:row>
    <x:row r="5" ht="76" customHeight="1">
      <x:c r="A5" s="13" t="str">
        <x:v>G01</x:v>
      </x:c>
      <x:c r="B5" s="13" t="str">
        <x:v>루비</x:v>
      </x:c>
      <x:c r="C5" s="13" t="str">
        <x:v>화염·신성 피해 배율</x:v>
      </x:c>
      <x:c r="D5" s="13" t="str">
        <x:v>힘</x:v>
      </x:c>
      <x:c r="E5" s="13" t="str">
        <x:v>화염 저항(대조 필요)</x:v>
      </x:c>
      <x:c r="F5" s="13" t="str">
        <x:v>무기 SRC01 확인 / 방어구 SRC02 당시 기준</x:v>
      </x:c>
      <x:c r="G5" s="13" t="str">
        <x:v>등급별 모든 수치 미확정</x:v>
      </x:c>
      <x:c r="H5" s="13" t="str">
        <x:v>https://news.blizzard.com/en-us/article/24266869/diablo-iv-patch-notes-2-6</x:v>
      </x:c>
      <x:c r="I5" s="13" t="str">
        <x:v>https://news.blizzard.com/en-us/article/24140808/diablo-iv-patch-notes-2-0</x:v>
      </x:c>
    </x:row>
    <x:row r="6" ht="76" customHeight="1">
      <x:c r="A6" s="13" t="str">
        <x:v>G02</x:v>
      </x:c>
      <x:c r="B6" s="13" t="str">
        <x:v>에메랄드</x:v>
      </x:c>
      <x:c r="C6" s="13" t="str">
        <x:v>독 피해 배율</x:v>
      </x:c>
      <x:c r="D6" s="13" t="str">
        <x:v>민첩</x:v>
      </x:c>
      <x:c r="E6" s="13" t="str">
        <x:v>독 저항(대조 필요)</x:v>
      </x:c>
      <x:c r="F6" s="13" t="str">
        <x:v>무기 SRC01 확인 / 방어구 SRC02 당시 기준</x:v>
      </x:c>
      <x:c r="G6" s="13" t="str">
        <x:v>등급별 모든 수치 미확정</x:v>
      </x:c>
      <x:c r="H6" s="13" t="str">
        <x:v>https://news.blizzard.com/en-us/article/24266869/diablo-iv-patch-notes-2-6</x:v>
      </x:c>
      <x:c r="I6" s="13" t="str">
        <x:v>https://news.blizzard.com/en-us/article/24140808/diablo-iv-patch-notes-2-0</x:v>
      </x:c>
    </x:row>
    <x:row r="7" ht="76" customHeight="1">
      <x:c r="A7" s="13" t="str">
        <x:v>G03</x:v>
      </x:c>
      <x:c r="B7" s="13" t="str">
        <x:v>사파이어</x:v>
      </x:c>
      <x:c r="C7" s="13" t="str">
        <x:v>냉기 피해 배율</x:v>
      </x:c>
      <x:c r="D7" s="13" t="str">
        <x:v>의지</x:v>
      </x:c>
      <x:c r="E7" s="13" t="str">
        <x:v>냉기 저항(대조 필요)</x:v>
      </x:c>
      <x:c r="F7" s="13" t="str">
        <x:v>무기 SRC01 확인 / 방어구 SRC02 당시 기준</x:v>
      </x:c>
      <x:c r="G7" s="13" t="str">
        <x:v>등급별 모든 수치 미확정</x:v>
      </x:c>
      <x:c r="H7" s="13" t="str">
        <x:v>https://news.blizzard.com/en-us/article/24266869/diablo-iv-patch-notes-2-6</x:v>
      </x:c>
      <x:c r="I7" s="13" t="str">
        <x:v>https://news.blizzard.com/en-us/article/24140808/diablo-iv-patch-notes-2-0</x:v>
      </x:c>
    </x:row>
    <x:row r="8" ht="76" customHeight="1">
      <x:c r="A8" s="13" t="str">
        <x:v>G04</x:v>
      </x:c>
      <x:c r="B8" s="13" t="str">
        <x:v>토파즈</x:v>
      </x:c>
      <x:c r="C8" s="13" t="str">
        <x:v>번개 피해 배율</x:v>
      </x:c>
      <x:c r="D8" s="13" t="str">
        <x:v>지능</x:v>
      </x:c>
      <x:c r="E8" s="13" t="str">
        <x:v>번개 저항(대조 필요)</x:v>
      </x:c>
      <x:c r="F8" s="13" t="str">
        <x:v>무기 SRC01 확인 / 방어구 SRC02 당시 기준</x:v>
      </x:c>
      <x:c r="G8" s="13" t="str">
        <x:v>등급별 모든 수치 미확정</x:v>
      </x:c>
      <x:c r="H8" s="13" t="str">
        <x:v>https://news.blizzard.com/en-us/article/24266869/diablo-iv-patch-notes-2-6</x:v>
      </x:c>
      <x:c r="I8" s="13" t="str">
        <x:v>https://news.blizzard.com/en-us/article/24140808/diablo-iv-patch-notes-2-0</x:v>
      </x:c>
    </x:row>
    <x:row r="9" ht="76" customHeight="1">
      <x:c r="A9" s="13" t="str">
        <x:v>G05</x:v>
      </x:c>
      <x:c r="B9" s="13" t="str">
        <x:v>자수정</x:v>
      </x:c>
      <x:c r="C9" s="13" t="str">
        <x:v>암흑 피해 배율</x:v>
      </x:c>
      <x:c r="D9" s="13" t="str">
        <x:v>보호막 생성량</x:v>
      </x:c>
      <x:c r="E9" s="13" t="str">
        <x:v>암흑 저항(대조 필요)</x:v>
      </x:c>
      <x:c r="F9" s="13" t="str">
        <x:v>무기 SRC01 확인 / 방어구 SRC02 당시 기준</x:v>
      </x:c>
      <x:c r="G9" s="13" t="str">
        <x:v>등급별 모든 수치 미확정</x:v>
      </x:c>
      <x:c r="H9" s="13" t="str">
        <x:v>https://news.blizzard.com/en-us/article/24266869/diablo-iv-patch-notes-2-6</x:v>
      </x:c>
      <x:c r="I9" s="13" t="str">
        <x:v>https://news.blizzard.com/en-us/article/24140808/diablo-iv-patch-notes-2-0</x:v>
      </x:c>
    </x:row>
    <x:row r="10" ht="76" customHeight="1">
      <x:c r="A10" s="13" t="str">
        <x:v>G06</x:v>
      </x:c>
      <x:c r="B10" s="13" t="str">
        <x:v>다이아몬드</x:v>
      </x:c>
      <x:c r="C10" s="13" t="str">
        <x:v>모든 피해 배율</x:v>
      </x:c>
      <x:c r="D10" s="13" t="str">
        <x:v>모든 기본능력</x:v>
      </x:c>
      <x:c r="E10" s="13" t="str">
        <x:v>모든 저항(대조 필요)</x:v>
      </x:c>
      <x:c r="F10" s="13" t="str">
        <x:v>무기 SRC01 확인 / 방어구 SRC02 당시 기준</x:v>
      </x:c>
      <x:c r="G10" s="13" t="str">
        <x:v>등급별 모든 수치 미확정</x:v>
      </x:c>
      <x:c r="H10" s="13" t="str">
        <x:v>https://news.blizzard.com/en-us/article/24266869/diablo-iv-patch-notes-2-6</x:v>
      </x:c>
      <x:c r="I10" s="13" t="str">
        <x:v>https://news.blizzard.com/en-us/article/24140808/diablo-iv-patch-notes-2-0</x:v>
      </x:c>
    </x:row>
    <x:row r="11" ht="76" customHeight="1">
      <x:c r="A11" s="13" t="str">
        <x:v>G07</x:v>
      </x:c>
      <x:c r="B11" s="13" t="str">
        <x:v>해골</x:v>
      </x:c>
      <x:c r="C11" s="13" t="str">
        <x:v>물리 피해 배율</x:v>
      </x:c>
      <x:c r="D11" s="13" t="str">
        <x:v>받는 회복량</x:v>
      </x:c>
      <x:c r="E11" s="13" t="str">
        <x:v>물리 방어계열: 방어도/저항 현행 대조 필요</x:v>
      </x:c>
      <x:c r="F11" s="13" t="str">
        <x:v>무기 SRC01 확인 / 방어구 SRC02 당시 기준</x:v>
      </x:c>
      <x:c r="G11" s="13" t="str">
        <x:v>등급별 모든 수치 미확정</x:v>
      </x:c>
      <x:c r="H11" s="13" t="str">
        <x:v>https://news.blizzard.com/en-us/article/24266869/diablo-iv-patch-notes-2-6</x:v>
      </x:c>
      <x:c r="I11" s="13" t="str">
        <x:v>https://news.blizzard.com/en-us/article/24140808/diablo-iv-patch-notes-2-0</x:v>
      </x:c>
    </x:row>
  </x:sheetData>
  <x:mergeCells>
    <x:mergeCell ref="A1:I1"/>
    <x:mergeCell ref="A2:I2"/>
  </x:mergeCells>
  <x:pageMargins left="0.7" right="0.7" top="0.75" bottom="0.75" header="0.3" footer="0.3"/>
  <x:tableParts count="1">
    <x:tablePart xmlns:r="http://schemas.openxmlformats.org/officeDocument/2006/relationships" r:id="R5c31a058d6274c28"/>
  </x:tableParts>
</x:worksheet>
</file>

<file path=xl/worksheets/sheet21.xml><?xml version="1.0" encoding="utf-8"?>
<x:worksheet xmlns:x="http://schemas.openxmlformats.org/spreadsheetml/2006/main">
  <x:sheetFormatPr defaultRowHeight="15"/>
  <x:cols>
    <x:col min="1" max="1" width="14" hidden="0" customWidth="1"/>
    <x:col min="2" max="2" width="28" hidden="0" customWidth="1"/>
    <x:col min="3" max="3" width="40" hidden="0" customWidth="1"/>
    <x:col min="4" max="4" width="42" hidden="0" customWidth="1"/>
    <x:col min="5" max="5" width="20" hidden="0" customWidth="1"/>
  </x:cols>
  <x:sheetData>
    <x:row r="1" ht="30" customHeight="1">
      <x:c r="A1" s="3" t="str">
        <x:v>HELLSCRIPT 0.1  |  보석단계대조</x:v>
      </x:c>
      <x:c r="B1" s="3"/>
      <x:c r="C1" s="3"/>
      <x:c r="D1" s="3"/>
      <x:c r="E1" s="3"/>
    </x:row>
    <x:row r="2" ht="38" customHeight="1">
      <x:c r="A2" s="8" t="str">
        <x:v>8단계 참조 계보를 위한 작업표. 원작 전체 현행 단계·수치 검증 완료를 뜻하지 않음. 임의로 3단계로 축소하지 않음.</x:v>
      </x:c>
      <x:c r="B2" s="8"/>
      <x:c r="C2" s="8"/>
      <x:c r="D2" s="8"/>
      <x:c r="E2" s="8"/>
    </x:row>
    <x:row r="4" ht="32" customHeight="1">
      <x:c r="A4" s="18" t="str">
        <x:v>순서초안</x:v>
      </x:c>
      <x:c r="B4" s="18" t="str">
        <x:v>원작참조ID</x:v>
      </x:c>
      <x:c r="C4" s="18" t="str">
        <x:v>참조명</x:v>
      </x:c>
      <x:c r="D4" s="18" t="str">
        <x:v>검증 범위</x:v>
      </x:c>
      <x:c r="E4" s="18" t="str">
        <x:v>상태</x:v>
      </x:c>
    </x:row>
    <x:row r="5" ht="76" customHeight="1">
      <x:c r="A5" s="13" t="n">
        <x:v>1</x:v>
      </x:c>
      <x:c r="B5" s="13" t="str">
        <x:v>Crude</x:v>
      </x:c>
      <x:c r="C5" s="13" t="str">
        <x:v>조잡한(참조명)</x:v>
      </x:c>
      <x:c r="D5" s="13" t="str">
        <x:v>현행 포함·공식 수치 대조 필요</x:v>
      </x:c>
      <x:c r="E5" s="13" t="str">
        <x:v>외부대조</x:v>
      </x:c>
    </x:row>
    <x:row r="6" ht="76" customHeight="1">
      <x:c r="A6" s="13" t="n">
        <x:v>2</x:v>
      </x:c>
      <x:c r="B6" s="13" t="str">
        <x:v>Chipped</x:v>
      </x:c>
      <x:c r="C6" s="13" t="str">
        <x:v>이빠진(참조명)</x:v>
      </x:c>
      <x:c r="D6" s="13" t="str">
        <x:v>2.0 공식 수치표 시작 등급. 현행 수치 대조 필요</x:v>
      </x:c>
      <x:c r="E6" s="13" t="str">
        <x:v>외부대조</x:v>
      </x:c>
    </x:row>
    <x:row r="7" ht="76" customHeight="1">
      <x:c r="A7" s="13" t="n">
        <x:v>3</x:v>
      </x:c>
      <x:c r="B7" s="13" t="str">
        <x:v>Standard</x:v>
      </x:c>
      <x:c r="C7" s="13" t="str">
        <x:v>일반(참조명)</x:v>
      </x:c>
      <x:c r="D7" s="13" t="str">
        <x:v>2.0의 Chipped~Grand 사이 계보. 공식 현행 값 대조 필요</x:v>
      </x:c>
      <x:c r="E7" s="13" t="str">
        <x:v>외부대조</x:v>
      </x:c>
    </x:row>
    <x:row r="8" ht="76" customHeight="1">
      <x:c r="A8" s="13" t="n">
        <x:v>4</x:v>
      </x:c>
      <x:c r="B8" s="13" t="str">
        <x:v>Flawless</x:v>
      </x:c>
      <x:c r="C8" s="13" t="str">
        <x:v>온전한(참조명)</x:v>
      </x:c>
      <x:c r="D8" s="13" t="str">
        <x:v>2.0의 Chipped~Grand 사이 계보. 공식 현행 값 대조 필요</x:v>
      </x:c>
      <x:c r="E8" s="13" t="str">
        <x:v>외부대조</x:v>
      </x:c>
    </x:row>
    <x:row r="9" ht="76" customHeight="1">
      <x:c r="A9" s="13" t="n">
        <x:v>5</x:v>
      </x:c>
      <x:c r="B9" s="13" t="str">
        <x:v>Royal</x:v>
      </x:c>
      <x:c r="C9" s="13" t="str">
        <x:v>왕실(참조명)</x:v>
      </x:c>
      <x:c r="D9" s="13" t="str">
        <x:v>공식 2.0에서 Grand 이전 등급으로 확인</x:v>
      </x:c>
      <x:c r="E9" s="13" t="str">
        <x:v>외부대조</x:v>
      </x:c>
    </x:row>
    <x:row r="10" ht="76" customHeight="1">
      <x:c r="A10" s="13" t="n">
        <x:v>6</x:v>
      </x:c>
      <x:c r="B10" s="13" t="str">
        <x:v>Grand</x:v>
      </x:c>
      <x:c r="C10" s="13" t="str">
        <x:v>웅장한(참조명)</x:v>
      </x:c>
      <x:c r="D10" s="13" t="str">
        <x:v>공식 2.0 추가 확인. 현행 값 대조 필요</x:v>
      </x:c>
      <x:c r="E10" s="13" t="str">
        <x:v>외부대조</x:v>
      </x:c>
    </x:row>
    <x:row r="11" ht="76" customHeight="1">
      <x:c r="A11" s="13" t="n">
        <x:v>7</x:v>
      </x:c>
      <x:c r="B11" s="13" t="str">
        <x:v>Horadric</x:v>
      </x:c>
      <x:c r="C11" s="13" t="str">
        <x:v>호라드림(원작 전용 참조명)</x:v>
      </x:c>
      <x:c r="D11" s="13" t="str">
        <x:v>2026 확장팩 공식 추가 확인; 자체 게임 표시명 별도 필요</x:v>
      </x:c>
      <x:c r="E11" s="13" t="str">
        <x:v>외부대조</x:v>
      </x:c>
    </x:row>
    <x:row r="12" ht="76" customHeight="1">
      <x:c r="A12" s="13" t="n">
        <x:v>8</x:v>
      </x:c>
      <x:c r="B12" s="13" t="str">
        <x:v>Flawless Horadric</x:v>
      </x:c>
      <x:c r="C12" s="13" t="str">
        <x:v>온전한 호라드림(원작 전용 참조명)</x:v>
      </x:c>
      <x:c r="D12" s="13" t="str">
        <x:v>2026 확장팩 공식 추가 확인; 자체 게임 표시명 별도 필요</x:v>
      </x:c>
      <x:c r="E12" s="13" t="str">
        <x:v>외부대조</x:v>
      </x:c>
    </x:row>
  </x:sheetData>
  <x:mergeCells>
    <x:mergeCell ref="A1:E1"/>
    <x:mergeCell ref="A2:E2"/>
  </x:mergeCells>
  <x:dataValidations count="1">
    <x:dataValidation type="list" sqref="E5:E12">
      <x:formula1>"사용자 확정,사용자 승인 초기값,테스트 초안,외부대조"</x:formula1>
    </x:dataValidation>
  </x:dataValidations>
  <x:pageMargins left="0.7" right="0.7" top="0.75" bottom="0.75" header="0.3" footer="0.3"/>
  <x:tableParts count="1">
    <x:tablePart xmlns:r="http://schemas.openxmlformats.org/officeDocument/2006/relationships" r:id="Rab46ba6b212f4110"/>
  </x:tableParts>
</x:worksheet>
</file>

<file path=xl/worksheets/sheet22.xml><?xml version="1.0" encoding="utf-8"?>
<x:worksheet xmlns:x="http://schemas.openxmlformats.org/spreadsheetml/2006/main">
  <x:sheetFormatPr defaultRowHeight="15"/>
  <x:cols>
    <x:col min="1" max="1" width="12" hidden="0" customWidth="1"/>
    <x:col min="2" max="2" width="18" hidden="0" customWidth="1"/>
    <x:col min="3" max="3" width="42" hidden="0" customWidth="1"/>
    <x:col min="4" max="4" width="42" hidden="0" customWidth="1"/>
  </x:cols>
  <x:sheetData>
    <x:row r="1" ht="30" customHeight="1">
      <x:c r="A1" s="3" t="str">
        <x:v>HELLSCRIPT 0.1  |  검증34</x:v>
      </x:c>
      <x:c r="B1" s="3"/>
      <x:c r="C1" s="3"/>
      <x:c r="D1" s="3"/>
    </x:row>
    <x:row r="2" ht="38" customHeight="1">
      <x:c r="A2" s="8" t="str">
        <x:v>전부 미실행 테스트 명세. 아래 통과조건을 실제 실행·측정했다고 주장하지 않음.</x:v>
      </x:c>
      <x:c r="B2" s="8"/>
      <x:c r="C2" s="8"/>
      <x:c r="D2" s="8"/>
    </x:row>
    <x:row r="4" ht="32" customHeight="1">
      <x:c r="A4" s="18" t="str">
        <x:v>ID</x:v>
      </x:c>
      <x:c r="B4" s="18" t="str">
        <x:v>분류</x:v>
      </x:c>
      <x:c r="C4" s="18" t="str">
        <x:v>시험 상황</x:v>
      </x:c>
      <x:c r="D4" s="18" t="str">
        <x:v>통과 조건</x:v>
      </x:c>
    </x:row>
    <x:row r="5" ht="76" customHeight="1">
      <x:c r="A5" s="13" t="str">
        <x:v>T01</x:v>
      </x:c>
      <x:c r="B5" s="13" t="str">
        <x:v>규칙</x:v>
      </x:c>
      <x:c r="C5" s="13" t="str">
        <x:v>HP 낮음·도약쿨 중</x:v>
      </x:c>
      <x:c r="D5" s="13" t="str">
        <x:v>조건 충족과 발동을 구분. 자원/쿨 미충족에는 도약 실행로그 없음</x:v>
      </x:c>
    </x:row>
    <x:row r="6" ht="76" customHeight="1">
      <x:c r="A6" s="13" t="str">
        <x:v>T02</x:v>
      </x:c>
      <x:c r="B6" s="13" t="str">
        <x:v>규칙</x:v>
      </x:c>
      <x:c r="C6" s="13" t="str">
        <x:v>모든 도약 후보에 적 존재</x:v>
      </x:c>
      <x:c r="D6" s="13" t="str">
        <x:v>유효 후보 중 설정한 최소밀도 지점으로 실제 도약</x:v>
      </x:c>
    </x:row>
    <x:row r="7" ht="76" customHeight="1">
      <x:c r="A7" s="13" t="str">
        <x:v>T03</x:v>
      </x:c>
      <x:c r="B7" s="13" t="str">
        <x:v>규칙</x:v>
      </x:c>
      <x:c r="C7" s="13" t="str">
        <x:v>유효 착지점0</x:v>
      </x:c>
      <x:c r="D7" s="13" t="str">
        <x:v>NOT_READY 기록. 발동·자원소모 없이 다른 가능한 규칙 판정</x:v>
      </x:c>
    </x:row>
    <x:row r="8" ht="76" customHeight="1">
      <x:c r="A8" s="13" t="str">
        <x:v>T04</x:v>
      </x:c>
      <x:c r="B8" s="13" t="str">
        <x:v>규칙</x:v>
      </x:c>
      <x:c r="C8" s="13" t="str">
        <x:v>공격·이동기 동시에 준비</x:v>
      </x:c>
      <x:c r="D8" s="13" t="str">
        <x:v>우선순위가 높은 주행동1개만 확정</x:v>
      </x:c>
    </x:row>
    <x:row r="9" ht="76" customHeight="1">
      <x:c r="A9" s="13" t="str">
        <x:v>T05</x:v>
      </x:c>
      <x:c r="B9" s="13" t="str">
        <x:v>규칙</x:v>
      </x:c>
      <x:c r="C9" s="13" t="str">
        <x:v>공격·물약 동시에 준비</x:v>
      </x:c>
      <x:c r="D9" s="13" t="str">
        <x:v>독립 물약채널 처리. 두 공격 동시실행 금지</x:v>
      </x:c>
    </x:row>
    <x:row r="10" ht="76" customHeight="1">
      <x:c r="A10" s="13" t="str">
        <x:v>T06</x:v>
      </x:c>
      <x:c r="B10" s="13" t="str">
        <x:v>규칙</x:v>
      </x:c>
      <x:c r="C10" s="13" t="str">
        <x:v>휠윈드 중 위기</x:v>
      </x:c>
      <x:c r="D10" s="13" t="str">
        <x:v>중단허용 설정에 따라 도약 이행; 탐색이 동시에 위치를 덮어쓰지 않음</x:v>
      </x:c>
    </x:row>
    <x:row r="11" ht="76" customHeight="1">
      <x:c r="A11" s="13" t="str">
        <x:v>T07</x:v>
      </x:c>
      <x:c r="B11" s="13" t="str">
        <x:v>규칙</x:v>
      </x:c>
      <x:c r="C11" s="13" t="str">
        <x:v>스킬 발동 후 대상 사망</x:v>
      </x:c>
      <x:c r="D11" s="13" t="str">
        <x:v>마지막 조준점으로 동작 완료. 비용 환불·무료 재발동 없음</x:v>
      </x:c>
    </x:row>
    <x:row r="12" ht="76" customHeight="1">
      <x:c r="A12" s="13" t="str">
        <x:v>T08</x:v>
      </x:c>
      <x:c r="B12" s="13" t="str">
        <x:v>규칙</x:v>
      </x:c>
      <x:c r="C12" s="13" t="str">
        <x:v>타깃 거리 경계에서 이동</x:v>
      </x:c>
      <x:c r="D12" s="13" t="str">
        <x:v>거리 허용오차 안에서는 앞뒤 왕복 반복하지 않음</x:v>
      </x:c>
    </x:row>
    <x:row r="13" ht="76" customHeight="1">
      <x:c r="A13" s="13" t="str">
        <x:v>T09</x:v>
      </x:c>
      <x:c r="B13" s="13" t="str">
        <x:v>지도</x:v>
      </x:c>
      <x:c r="C13" s="13" t="str">
        <x:v>1000개 생성 시드</x:v>
      </x:c>
      <x:c r="D13" s="13" t="str">
        <x:v>모든 방 연결·출구차수2이상·도보경로 연결·최소150점·보스장소 보장</x:v>
      </x:c>
    </x:row>
    <x:row r="14" ht="76" customHeight="1">
      <x:c r="A14" s="13" t="str">
        <x:v>T10</x:v>
      </x:c>
      <x:c r="B14" s="13" t="str">
        <x:v>지도</x:v>
      </x:c>
      <x:c r="C14" s="13" t="str">
        <x:v>오른벽 따라가기 반복순환</x:v>
      </x:c>
      <x:c r="D14" s="13" t="str">
        <x:v>방문간선 복구로 다른 연결 탐색; 무한제자리순회 없음</x:v>
      </x:c>
    </x:row>
    <x:row r="15" ht="76" customHeight="1">
      <x:c r="A15" s="13" t="str">
        <x:v>T11</x:v>
      </x:c>
      <x:c r="B15" s="13" t="str">
        <x:v>보상</x:v>
      </x:c>
      <x:c r="C15" s="13" t="str">
        <x:v>보스 처치·완료가 같은 틱</x:v>
      </x:c>
      <x:c r="D15" s="13" t="str">
        <x:v>보상ID1개로 한번만 지급</x:v>
      </x:c>
    </x:row>
    <x:row r="16" ht="76" customHeight="1">
      <x:c r="A16" s="13" t="str">
        <x:v>T12</x:v>
      </x:c>
      <x:c r="B16" s="13" t="str">
        <x:v>보상</x:v>
      </x:c>
      <x:c r="C16" s="13" t="str">
        <x:v>제한시간 끝과 보스HP0 동시</x:v>
      </x:c>
      <x:c r="D16" s="13" t="str">
        <x:v>해당틱 피해→보스사망판정→시간만료 순서. 경계조건 일관</x:v>
      </x:c>
    </x:row>
    <x:row r="17" ht="76" customHeight="1">
      <x:c r="A17" s="13" t="str">
        <x:v>T13</x:v>
      </x:c>
      <x:c r="B17" s="13" t="str">
        <x:v>보상</x:v>
      </x:c>
      <x:c r="C17" s="13" t="str">
        <x:v>보스소환 부하 반복 처치</x:v>
      </x:c>
      <x:c r="D17" s="13" t="str">
        <x:v>점수·아이템·골드0. 무한 파밍 방지</x:v>
      </x:c>
    </x:row>
    <x:row r="18" ht="76" customHeight="1">
      <x:c r="A18" s="13" t="str">
        <x:v>T14</x:v>
      </x:c>
      <x:c r="B18" s="13" t="str">
        <x:v>가방</x:v>
      </x:c>
      <x:c r="C18" s="13" t="str">
        <x:v>새 드롭이 보유품보다 저가치</x:v>
      </x:c>
      <x:c r="D18" s="13" t="str">
        <x:v>보유품 폐기하지 않고 새 드롭 무시</x:v>
      </x:c>
    </x:row>
    <x:row r="19" ht="76" customHeight="1">
      <x:c r="A19" s="13" t="str">
        <x:v>T15</x:v>
      </x:c>
      <x:c r="B19" s="13" t="str">
        <x:v>가방</x:v>
      </x:c>
      <x:c r="C19" s="13" t="str">
        <x:v>모든 아이템 보호</x:v>
      </x:c>
      <x:c r="D19" s="13" t="str">
        <x:v>아무것도 삭제하지 않고 이후획득무시·경고로그</x:v>
      </x:c>
    </x:row>
    <x:row r="20" ht="76" customHeight="1">
      <x:c r="A20" s="13" t="str">
        <x:v>T16</x:v>
      </x:c>
      <x:c r="B20" s="13" t="str">
        <x:v>가방</x:v>
      </x:c>
      <x:c r="C20" s="13" t="str">
        <x:v>폐기 아이템이 다시 획득 반경</x:v>
      </x:c>
      <x:c r="D20" s="13" t="str">
        <x:v>재획득하지 않음. 줍기·버리기 무한반복 없음</x:v>
      </x:c>
    </x:row>
    <x:row r="21" ht="76" customHeight="1">
      <x:c r="A21" s="13" t="str">
        <x:v>T17</x:v>
      </x:c>
      <x:c r="B21" s="13" t="str">
        <x:v>포탈</x:v>
      </x:c>
      <x:c r="C21" s="13" t="str">
        <x:v>마을분해 전후 비교</x:v>
      </x:c>
      <x:c r="D21" s="13" t="str">
        <x:v>HP·자원·적상태·투사체·버프·쿨·시간 완전 보존. 가방·재료만 변경</x:v>
      </x:c>
    </x:row>
    <x:row r="22" ht="76" customHeight="1">
      <x:c r="A22" s="13" t="str">
        <x:v>T18</x:v>
      </x:c>
      <x:c r="B22" s="13" t="str">
        <x:v>포탈</x:v>
      </x:c>
      <x:c r="C22" s="13" t="str">
        <x:v>포탈 시전 중 피격</x:v>
      </x:c>
      <x:c r="D22" s="13" t="str">
        <x:v>초안:2초채널 중단,3초 후 재시도. 던전시간은 아직 진행</x:v>
      </x:c>
    </x:row>
    <x:row r="23" ht="76" customHeight="1">
      <x:c r="A23" s="13" t="str">
        <x:v>T19</x:v>
      </x:c>
      <x:c r="B23" s="13" t="str">
        <x:v>오프라인</x:v>
      </x:c>
      <x:c r="C23" s="13" t="str">
        <x:v>동일 영수증2회 요청</x:v>
      </x:c>
      <x:c r="D23" s="13" t="str">
        <x:v>골드·재료를 한번만 지급</x:v>
      </x:c>
    </x:row>
    <x:row r="24" ht="76" customHeight="1">
      <x:c r="A24" s="13" t="str">
        <x:v>T20</x:v>
      </x:c>
      <x:c r="B24" s="13" t="str">
        <x:v>오프라인</x:v>
      </x:c>
      <x:c r="C24" s="13" t="str">
        <x:v>PC사냥 중 모바일 접속</x:v>
      </x:c>
      <x:c r="D24" s="13" t="str">
        <x:v>계정사냥세션 인계, 같은시간 온라인+오프라인 이중생산 없음</x:v>
      </x:c>
    </x:row>
    <x:row r="25" ht="76" customHeight="1">
      <x:c r="A25" s="13" t="str">
        <x:v>T21</x:v>
      </x:c>
      <x:c r="B25" s="13" t="str">
        <x:v>오프라인</x:v>
      </x:c>
      <x:c r="C25" s="13" t="str">
        <x:v>기기 시간 변경</x:v>
      </x:c>
      <x:c r="D25" s="13" t="str">
        <x:v>서버시간 기준 정산; 기기시계로 보상 증가 불가</x:v>
      </x:c>
    </x:row>
    <x:row r="26" ht="76" customHeight="1">
      <x:c r="A26" s="13" t="str">
        <x:v>T22</x:v>
      </x:c>
      <x:c r="B26" s="13" t="str">
        <x:v>소탕</x:v>
      </x:c>
      <x:c r="C26" s="13" t="str">
        <x:v>최고도달은20·최고클리어19</x:v>
      </x:c>
      <x:c r="D26" s="13" t="str">
        <x:v>19단 반복클리어 보상. 첫클리어 보상·기록갱신 없음</x:v>
      </x:c>
    </x:row>
    <x:row r="27" ht="76" customHeight="1">
      <x:c r="A27" s="13" t="str">
        <x:v>T23</x:v>
      </x:c>
      <x:c r="B27" s="13" t="str">
        <x:v>소탕</x:v>
      </x:c>
      <x:c r="C27" s="13" t="str">
        <x:v>공간부족·재접속·재요청</x:v>
      </x:c>
      <x:c r="D27" s="13" t="str">
        <x:v>같은 확정 보상 유지. 추가 추첨 및 중복지급 불가</x:v>
      </x:c>
    </x:row>
    <x:row r="28" ht="76" customHeight="1">
      <x:c r="A28" s="13" t="str">
        <x:v>T24</x:v>
      </x:c>
      <x:c r="B28" s="13" t="str">
        <x:v>전설</x:v>
      </x:c>
      <x:c r="C28" s="13" t="str">
        <x:v>직업별·부위별 모든 후보군</x:v>
      </x:c>
      <x:c r="D28" s="13" t="str">
        <x:v>모든 부위에 획득 가능 후보 및 가중치100후보 존재. 극희귀단독풀 없음</x:v>
      </x:c>
    </x:row>
    <x:row r="29" ht="76" customHeight="1">
      <x:c r="A29" s="13" t="str">
        <x:v>T25</x:v>
      </x:c>
      <x:c r="B29" s="13" t="str">
        <x:v>전설</x:v>
      </x:c>
      <x:c r="C29" s="13" t="str">
        <x:v>코어10제작 요청 재시도</x:v>
      </x:c>
      <x:c r="D29" s="13" t="str">
        <x:v>코어 한번차감·아이템 한번지급</x:v>
      </x:c>
    </x:row>
    <x:row r="30" ht="76" customHeight="1">
      <x:c r="A30" s="13" t="str">
        <x:v>T26</x:v>
      </x:c>
      <x:c r="B30" s="13" t="str">
        <x:v>전설</x:v>
      </x:c>
      <x:c r="C30" s="13" t="str">
        <x:v>추가폭발·전염·덫연계</x:v>
      </x:c>
      <x:c r="D30" s="13" t="str">
        <x:v>proc_depth와 발동태그로 무한 재귀 없음</x:v>
      </x:c>
    </x:row>
    <x:row r="31" ht="76" customHeight="1">
      <x:c r="A31" s="13" t="str">
        <x:v>T27</x:v>
      </x:c>
      <x:c r="B31" s="13" t="str">
        <x:v>프리셋</x:v>
      </x:c>
      <x:c r="C31" s="13" t="str">
        <x:v>장비가 이전에 분해/이동됨</x:v>
      </x:c>
      <x:c r="D31" s="13" t="str">
        <x:v>누락을 표시. 존재하지 않는 장비를 새로 생성하지 않음</x:v>
      </x:c>
    </x:row>
    <x:row r="32" ht="76" customHeight="1">
      <x:c r="A32" s="13" t="str">
        <x:v>T28</x:v>
      </x:c>
      <x:c r="B32" s="13" t="str">
        <x:v>로그</x:v>
      </x:c>
      <x:c r="C32" s="13" t="str">
        <x:v>11번째 스테이지 종료</x:v>
      </x:c>
      <x:c r="D32" s="13" t="str">
        <x:v>최근10개 상세로그만 남기되 최고기록·영수증은 삭제되지 않음</x:v>
      </x:c>
    </x:row>
    <x:row r="33" ht="76" customHeight="1">
      <x:c r="A33" s="13" t="str">
        <x:v>T29</x:v>
      </x:c>
      <x:c r="B33" s="13" t="str">
        <x:v>결제</x:v>
      </x:c>
      <x:c r="C33" s="13" t="str">
        <x:v>캐릭터A의 탭2개방</x:v>
      </x:c>
      <x:c r="D33" s="13" t="str">
        <x:v>A만 인벤토리탭 개방. 창고구매는 계정 전체</x:v>
      </x:c>
    </x:row>
    <x:row r="34" ht="76" customHeight="1">
      <x:c r="A34" s="13" t="str">
        <x:v>T30</x:v>
      </x:c>
      <x:c r="B34" s="13" t="str">
        <x:v>훈련</x:v>
      </x:c>
      <x:c r="C34" s="13" t="str">
        <x:v>같은 시드·조건으로 재실행</x:v>
      </x:c>
      <x:c r="D34" s="13" t="str">
        <x:v>난수스트림·초기상태 동일. 재현 차이는 결함으로 기록</x:v>
      </x:c>
    </x:row>
    <x:row r="35" ht="76" customHeight="1">
      <x:c r="A35" s="13" t="str">
        <x:v>T31</x:v>
      </x:c>
      <x:c r="B35" s="13" t="str">
        <x:v>성능</x:v>
      </x:c>
      <x:c r="C35" s="13" t="str">
        <x:v>테스트 단말에서 적32마리·장판</x:v>
      </x:c>
      <x:c r="D35" s="13" t="str">
        <x:v>목표30fps 이상 검증. 아직 측정결과 없음</x:v>
      </x:c>
    </x:row>
    <x:row r="36" ht="76" customHeight="1">
      <x:c r="A36" s="13" t="str">
        <x:v>T32</x:v>
      </x:c>
      <x:c r="B36" s="13" t="str">
        <x:v>밸런스</x:v>
      </x:c>
      <x:c r="C36" s="13" t="str">
        <x:v>같은 장비·서로 다른 스크립트</x:v>
      </x:c>
      <x:c r="D36" s="13" t="str">
        <x:v>결과 차이가 조작가능한 규칙과 로그로 설명되는지 검증</x:v>
      </x:c>
    </x:row>
    <x:row r="37" ht="76" customHeight="1">
      <x:c r="A37" s="13" t="str">
        <x:v>T33</x:v>
      </x:c>
      <x:c r="B37" s="13" t="str">
        <x:v>보석</x:v>
      </x:c>
      <x:c r="C37" s="13" t="str">
        <x:v>원작 대조 미완료 상태</x:v>
      </x:c>
      <x:c r="D37" s="13" t="str">
        <x:v>검증대기 옵션·수치는 출시 승인을 통과할 수 없음</x:v>
      </x:c>
    </x:row>
    <x:row r="38" ht="76" customHeight="1">
      <x:c r="A38" s="13" t="str">
        <x:v>T34</x:v>
      </x:c>
      <x:c r="B38" s="13" t="str">
        <x:v>훈련</x:v>
      </x:c>
      <x:c r="C38" s="13" t="str">
        <x:v>안전반경·진입도약 공격 사용 비교</x:v>
      </x:c>
      <x:c r="D38" s="13" t="str">
        <x:v>A/B 같은 전투조건에서 수행. 특정 성공률을 미리 실측값처럼 제시하지 않음</x:v>
      </x:c>
    </x:row>
  </x:sheetData>
  <x:mergeCells>
    <x:mergeCell ref="A1:D1"/>
    <x:mergeCell ref="A2:D2"/>
  </x:mergeCells>
  <x:pageMargins left="0.7" right="0.7" top="0.75" bottom="0.75" header="0.3" footer="0.3"/>
  <x:tableParts count="1">
    <x:tablePart xmlns:r="http://schemas.openxmlformats.org/officeDocument/2006/relationships" r:id="R8ae2da5118bd4305"/>
  </x:tableParts>
</x:worksheet>
</file>

<file path=xl/worksheets/sheet23.xml><?xml version="1.0" encoding="utf-8"?>
<x:worksheet xmlns:x="http://schemas.openxmlformats.org/spreadsheetml/2006/main">
  <x:sheetFormatPr defaultRowHeight="15"/>
  <x:cols>
    <x:col min="1" max="1" width="12" hidden="0" customWidth="1"/>
    <x:col min="2" max="2" width="40" hidden="0" customWidth="1"/>
    <x:col min="3" max="3" width="42" hidden="0" customWidth="1"/>
    <x:col min="4" max="4" width="27" hidden="0" customWidth="1"/>
    <x:col min="5" max="5" width="42" hidden="0" customWidth="1"/>
  </x:cols>
  <x:sheetData>
    <x:row r="1" ht="30" customHeight="1">
      <x:c r="A1" s="3" t="str">
        <x:v>HELLSCRIPT 0.1  |  출처</x:v>
      </x:c>
      <x:c r="B1" s="3"/>
      <x:c r="C1" s="3"/>
      <x:c r="D1" s="3"/>
      <x:c r="E1" s="3"/>
    </x:row>
    <x:row r="2" ht="38" customHeight="1">
      <x:c r="A2" s="8" t="str">
        <x:v>외부 사실과 자체 설계·사용자 확정을 구분. 마지막 웹 대조 2026-09-08.</x:v>
      </x:c>
      <x:c r="B2" s="8"/>
      <x:c r="C2" s="8"/>
      <x:c r="D2" s="8"/>
      <x:c r="E2" s="8"/>
    </x:row>
    <x:row r="4" ht="32" customHeight="1">
      <x:c r="A4" s="18" t="str">
        <x:v>ID</x:v>
      </x:c>
      <x:c r="B4" s="18" t="str">
        <x:v>출처</x:v>
      </x:c>
      <x:c r="C4" s="18" t="str">
        <x:v>URL 또는 출처위치</x:v>
      </x:c>
      <x:c r="D4" s="18" t="str">
        <x:v>시점</x:v>
      </x:c>
      <x:c r="E4" s="18" t="str">
        <x:v>확인한 범위</x:v>
      </x:c>
    </x:row>
    <x:row r="5" ht="76" customHeight="1">
      <x:c r="A5" s="13" t="str">
        <x:v>SRC01</x:v>
      </x:c>
      <x:c r="B5" s="13" t="str">
        <x:v>Blizzard 공식 3.0.1 안내(페이지 제목은 2.6)</x:v>
      </x:c>
      <x:c r="C5" s="13" t="str">
        <x:v>https://news.blizzard.com/en-us/article/24266869/diablo-iv-patch-notes-2-6</x:v>
      </x:c>
      <x:c r="D5" s="13" t="str">
        <x:v>2026-04-27</x:v>
      </x:c>
      <x:c r="E5" s="13" t="str">
        <x:v>무기 보석7종의 속성 배율 효과 확인. 전체 보석 수치표 아님</x:v>
      </x:c>
    </x:row>
    <x:row r="6" ht="76" customHeight="1">
      <x:c r="A6" s="13" t="str">
        <x:v>SRC02</x:v>
      </x:c>
      <x:c r="B6" s="13" t="str">
        <x:v>Blizzard 공식 2.0 패치 노트</x:v>
      </x:c>
      <x:c r="C6" s="13" t="str">
        <x:v>https://news.blizzard.com/en-us/article/24140808/diablo-iv-patch-notes-2-0</x:v>
      </x:c>
      <x:c r="D6" s="13" t="str">
        <x:v>2024-11</x:v>
      </x:c>
      <x:c r="E6" s="13" t="str">
        <x:v>방어구 보석의 능력치 종류·당시 수치 확인. 현행 수치로 간주하지 않음</x:v>
      </x:c>
    </x:row>
    <x:row r="7" ht="76" customHeight="1">
      <x:c r="A7" s="13" t="str">
        <x:v>SRC03</x:v>
      </x:c>
      <x:c r="B7" s="13" t="str">
        <x:v>Blizzard 공식 확장팩 안내</x:v>
      </x:c>
      <x:c r="C7" s="13" t="str">
        <x:v>https://news.blizzard.com/en-gb/article/24267729/prepare-for-the-reckoning-lord-of-hatred-draws-near</x:v>
      </x:c>
      <x:c r="D7" s="13" t="str">
        <x:v>2026-04-23</x:v>
      </x:c>
      <x:c r="E7" s="13" t="str">
        <x:v>Horadric / Flawless Horadric 상위2등급 추가 확인</x:v>
      </x:c>
    </x:row>
    <x:row r="8" ht="76" customHeight="1">
      <x:c r="A8" s="13" t="str">
        <x:v>SRC04</x:v>
      </x:c>
      <x:c r="B8" s="13" t="str">
        <x:v>Blizzard 공식 패치 노트</x:v>
      </x:c>
      <x:c r="C8" s="13" t="str">
        <x:v>https://news.blizzard.com/en-us/article/24287406/diablo-iv-patch-notes</x:v>
      </x:c>
      <x:c r="D8" s="13" t="str">
        <x:v>2026-08-12 상단 버전</x:v>
      </x:c>
      <x:c r="E8" s="13" t="str">
        <x:v>보석 표시·분해 오류 수정 확인. 최신 전체 보석 도감은 아님</x:v>
      </x:c>
    </x:row>
    <x:row r="9" ht="76" customHeight="1">
      <x:c r="A9" s="13" t="str">
        <x:v>USER</x:v>
      </x:c>
      <x:c r="B9" s="13" t="str">
        <x:v>사용자 확정 대화</x:v>
      </x:c>
      <x:c r="C9" s="13" t="str">
        <x:v>현재 대화</x:v>
      </x:c>
      <x:c r="D9" s="13" t="str">
        <x:v>2026-09-08</x:v>
      </x:c>
      <x:c r="E9" s="13" t="str">
        <x:v>01_확정사항. 외부 참고작의 사실과 구분</x:v>
      </x:c>
    </x:row>
    <x:row r="10" ht="76" customHeight="1">
      <x:c r="A10" s="13" t="str">
        <x:v>DESIGN</x:v>
      </x:c>
      <x:c r="B10" s="13" t="str">
        <x:v>HELLSCRIPT v0.1 설계 제안</x:v>
      </x:c>
      <x:c r="C10" s="13" t="str">
        <x:v>본 문서·데이터표</x:v>
      </x:c>
      <x:c r="D10" s="13" t="str">
        <x:v>2026-09-08</x:v>
      </x:c>
      <x:c r="E10" s="13" t="str">
        <x:v>스킬·몬스터·장비 이름과 모든 신규 밸런스 수치는 창작 초안. 플레이 실측 아님</x:v>
      </x:c>
    </x:row>
  </x:sheetData>
  <x:mergeCells>
    <x:mergeCell ref="A1:E1"/>
    <x:mergeCell ref="A2:E2"/>
  </x:mergeCells>
  <x:pageMargins left="0.7" right="0.7" top="0.75" bottom="0.75" header="0.3" footer="0.3"/>
  <x:tableParts count="1">
    <x:tablePart xmlns:r="http://schemas.openxmlformats.org/officeDocument/2006/relationships" r:id="R7e31e90a1fce41f2"/>
  </x:tableParts>
</x:worksheet>
</file>

<file path=xl/worksheets/sheet24.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s>
  <x:sheetData>
    <x:row r="1" ht="30" customHeight="1">
      <x:c r="A1" s="3" t="str">
        <x:v>HELLSCRIPT 0.1  |  단계별 초깃값 계산</x:v>
      </x:c>
      <x:c r="B1" s="3"/>
      <x:c r="C1" s="3"/>
      <x:c r="D1" s="3"/>
      <x:c r="E1" s="3"/>
      <x:c r="F1" s="3"/>
      <x:c r="G1" s="3"/>
      <x:c r="H1" s="3"/>
    </x:row>
    <x:row r="2" ht="40" customHeight="1">
      <x:c r="A2" s="27" t="str">
        <x:v>02_전투상수 값을 바꾸면 계산 갱신. 실제 클리어 가능 단계·시간을 예측하는 시뮬레이션이 아님.</x:v>
      </x:c>
      <x:c r="B2" s="27"/>
      <x:c r="C2" s="27"/>
      <x:c r="D2" s="27"/>
      <x:c r="E2" s="27"/>
      <x:c r="F2" s="27"/>
      <x:c r="G2" s="27"/>
      <x:c r="H2" s="27"/>
    </x:row>
    <x:row r="4" ht="42" customHeight="1">
      <x:c r="A4" s="18" t="str">
        <x:v>균열 단계</x:v>
      </x:c>
      <x:c r="B4" s="18" t="str">
        <x:v>일반 기준HP</x:v>
      </x:c>
      <x:c r="C4" s="18" t="str">
        <x:v>보스 기준HP</x:v>
      </x:c>
      <x:c r="D4" s="18" t="str">
        <x:v>일반 기준공격</x:v>
      </x:c>
      <x:c r="E4" s="18" t="str">
        <x:v>장비 주능력배율</x:v>
      </x:c>
      <x:c r="F4" s="18" t="str">
        <x:v>표준 무기피해</x:v>
      </x:c>
      <x:c r="G4" s="18" t="str">
        <x:v>보스 골드</x:v>
      </x:c>
      <x:c r="H4" s="18" t="str">
        <x:v>시간당 오프라인골드</x:v>
      </x:c>
    </x:row>
    <x:row r="5" ht="23" customHeight="1">
      <x:c r="A5" t="n">
        <x:v>1</x:v>
      </x:c>
      <x:c r="B5" s="30" t="n">
        <x:f>'02_전투상수'!$C$25*(1+'02_전투상수'!$C$27)^(A5-1)</x:f>
        <x:v>70</x:v>
      </x:c>
      <x:c r="C5" s="30" t="n">
        <x:f>B5*'02_전투상수'!$C$30</x:f>
        <x:v>3150</x:v>
      </x:c>
      <x:c r="D5" s="30" t="n">
        <x:f>'02_전투상수'!$C$26*(1+'02_전투상수'!$C$28)^(A5-1)</x:f>
        <x:v>18</x:v>
      </x:c>
      <x:c r="E5" s="32" t="n">
        <x:f>1+'02_전투상수'!$C$29*(A5-1)</x:f>
        <x:v>1</x:v>
      </x:c>
      <x:c r="F5" s="32" t="n">
        <x:f>'02_전투상수'!$C$42*E5</x:f>
        <x:v>20</x:v>
      </x:c>
      <x:c r="G5" s="34" t="n">
        <x:f>'02_전투상수'!$C$38+'02_전투상수'!$C$39*A5</x:f>
        <x:v>850</x:v>
      </x:c>
      <x:c r="H5" s="34" t="n">
        <x:f>'02_전투상수'!$C$40+'02_전투상수'!$C$41*A5</x:f>
        <x:v>240</x:v>
      </x:c>
    </x:row>
    <x:row r="6" ht="23" customHeight="1">
      <x:c r="A6" t="n">
        <x:v>2</x:v>
      </x:c>
      <x:c r="B6" s="30" t="n">
        <x:f>'02_전투상수'!$C$25*(1+'02_전투상수'!$C$27)^(A6-1)</x:f>
        <x:v>75.60000000000001</x:v>
      </x:c>
      <x:c r="C6" s="30" t="n">
        <x:f>B6*'02_전투상수'!$C$30</x:f>
        <x:v>3402.0000000000005</x:v>
      </x:c>
      <x:c r="D6" s="30" t="n">
        <x:f>'02_전투상수'!$C$26*(1+'02_전투상수'!$C$28)^(A6-1)</x:f>
        <x:v>18.99</x:v>
      </x:c>
      <x:c r="E6" s="32" t="n">
        <x:f>1+'02_전투상수'!$C$29*(A6-1)</x:f>
        <x:v>1.08</x:v>
      </x:c>
      <x:c r="F6" s="32" t="n">
        <x:f>'02_전투상수'!$C$42*E6</x:f>
        <x:v>21.6</x:v>
      </x:c>
      <x:c r="G6" s="34" t="n">
        <x:f>'02_전투상수'!$C$38+'02_전투상수'!$C$39*A6</x:f>
        <x:v>900</x:v>
      </x:c>
      <x:c r="H6" s="34" t="n">
        <x:f>'02_전투상수'!$C$40+'02_전투상수'!$C$41*A6</x:f>
        <x:v>280</x:v>
      </x:c>
    </x:row>
    <x:row r="7" ht="23" customHeight="1">
      <x:c r="A7" t="n">
        <x:v>3</x:v>
      </x:c>
      <x:c r="B7" s="30" t="n">
        <x:f>'02_전투상수'!$C$25*(1+'02_전투상수'!$C$27)^(A7-1)</x:f>
        <x:v>81.64800000000001</x:v>
      </x:c>
      <x:c r="C7" s="30" t="n">
        <x:f>B7*'02_전투상수'!$C$30</x:f>
        <x:v>3674.1600000000003</x:v>
      </x:c>
      <x:c r="D7" s="30" t="n">
        <x:f>'02_전투상수'!$C$26*(1+'02_전투상수'!$C$28)^(A7-1)</x:f>
        <x:v>20.03445</x:v>
      </x:c>
      <x:c r="E7" s="32" t="n">
        <x:f>1+'02_전투상수'!$C$29*(A7-1)</x:f>
        <x:v>1.16</x:v>
      </x:c>
      <x:c r="F7" s="32" t="n">
        <x:f>'02_전투상수'!$C$42*E7</x:f>
        <x:v>23.2</x:v>
      </x:c>
      <x:c r="G7" s="34" t="n">
        <x:f>'02_전투상수'!$C$38+'02_전투상수'!$C$39*A7</x:f>
        <x:v>950</x:v>
      </x:c>
      <x:c r="H7" s="34" t="n">
        <x:f>'02_전투상수'!$C$40+'02_전투상수'!$C$41*A7</x:f>
        <x:v>320</x:v>
      </x:c>
    </x:row>
    <x:row r="8" ht="23" customHeight="1">
      <x:c r="A8" t="n">
        <x:v>4</x:v>
      </x:c>
      <x:c r="B8" s="30" t="n">
        <x:f>'02_전투상수'!$C$25*(1+'02_전투상수'!$C$27)^(A8-1)</x:f>
        <x:v>88.17984000000001</x:v>
      </x:c>
      <x:c r="C8" s="30" t="n">
        <x:f>B8*'02_전투상수'!$C$30</x:f>
        <x:v>3968.0928000000004</x:v>
      </x:c>
      <x:c r="D8" s="30" t="n">
        <x:f>'02_전투상수'!$C$26*(1+'02_전투상수'!$C$28)^(A8-1)</x:f>
        <x:v>21.136344749999996</x:v>
      </x:c>
      <x:c r="E8" s="32" t="n">
        <x:f>1+'02_전투상수'!$C$29*(A8-1)</x:f>
        <x:v>1.24</x:v>
      </x:c>
      <x:c r="F8" s="32" t="n">
        <x:f>'02_전투상수'!$C$42*E8</x:f>
        <x:v>24.8</x:v>
      </x:c>
      <x:c r="G8" s="34" t="n">
        <x:f>'02_전투상수'!$C$38+'02_전투상수'!$C$39*A8</x:f>
        <x:v>1000</x:v>
      </x:c>
      <x:c r="H8" s="34" t="n">
        <x:f>'02_전투상수'!$C$40+'02_전투상수'!$C$41*A8</x:f>
        <x:v>360</x:v>
      </x:c>
    </x:row>
    <x:row r="9" ht="23" customHeight="1">
      <x:c r="A9" t="n">
        <x:v>5</x:v>
      </x:c>
      <x:c r="B9" s="30" t="n">
        <x:f>'02_전투상수'!$C$25*(1+'02_전투상수'!$C$27)^(A9-1)</x:f>
        <x:v>95.23422720000002</x:v>
      </x:c>
      <x:c r="C9" s="30" t="n">
        <x:f>B9*'02_전투상수'!$C$30</x:f>
        <x:v>4285.540224000001</x:v>
      </x:c>
      <x:c r="D9" s="30" t="n">
        <x:f>'02_전투상수'!$C$26*(1+'02_전투상수'!$C$28)^(A9-1)</x:f>
        <x:v>22.298843711249997</x:v>
      </x:c>
      <x:c r="E9" s="32" t="n">
        <x:f>1+'02_전투상수'!$C$29*(A9-1)</x:f>
        <x:v>1.32</x:v>
      </x:c>
      <x:c r="F9" s="32" t="n">
        <x:f>'02_전투상수'!$C$42*E9</x:f>
        <x:v>26.400000000000002</x:v>
      </x:c>
      <x:c r="G9" s="34" t="n">
        <x:f>'02_전투상수'!$C$38+'02_전투상수'!$C$39*A9</x:f>
        <x:v>1050</x:v>
      </x:c>
      <x:c r="H9" s="34" t="n">
        <x:f>'02_전투상수'!$C$40+'02_전투상수'!$C$41*A9</x:f>
        <x:v>400</x:v>
      </x:c>
    </x:row>
    <x:row r="10" ht="23" customHeight="1">
      <x:c r="A10" t="n">
        <x:v>6</x:v>
      </x:c>
      <x:c r="B10" s="30" t="n">
        <x:f>'02_전투상수'!$C$25*(1+'02_전투상수'!$C$27)^(A10-1)</x:f>
        <x:v>102.85296537600004</x:v>
      </x:c>
      <x:c r="C10" s="30" t="n">
        <x:f>B10*'02_전투상수'!$C$30</x:f>
        <x:v>4628.383441920002</x:v>
      </x:c>
      <x:c r="D10" s="30" t="n">
        <x:f>'02_전투상수'!$C$26*(1+'02_전투상수'!$C$28)^(A10-1)</x:f>
        <x:v>23.525280115368744</x:v>
      </x:c>
      <x:c r="E10" s="32" t="n">
        <x:f>1+'02_전투상수'!$C$29*(A10-1)</x:f>
        <x:v>1.4</x:v>
      </x:c>
      <x:c r="F10" s="32" t="n">
        <x:f>'02_전투상수'!$C$42*E10</x:f>
        <x:v>28</x:v>
      </x:c>
      <x:c r="G10" s="34" t="n">
        <x:f>'02_전투상수'!$C$38+'02_전투상수'!$C$39*A10</x:f>
        <x:v>1100</x:v>
      </x:c>
      <x:c r="H10" s="34" t="n">
        <x:f>'02_전투상수'!$C$40+'02_전투상수'!$C$41*A10</x:f>
        <x:v>440</x:v>
      </x:c>
    </x:row>
    <x:row r="11" ht="23" customHeight="1">
      <x:c r="A11" t="n">
        <x:v>7</x:v>
      </x:c>
      <x:c r="B11" s="30" t="n">
        <x:f>'02_전투상수'!$C$25*(1+'02_전투상수'!$C$27)^(A11-1)</x:f>
        <x:v>111.08120260608004</x:v>
      </x:c>
      <x:c r="C11" s="30" t="n">
        <x:f>B11*'02_전투상수'!$C$30</x:f>
        <x:v>4998.6541172736015</x:v>
      </x:c>
      <x:c r="D11" s="30" t="n">
        <x:f>'02_전투상수'!$C$26*(1+'02_전투상수'!$C$28)^(A11-1)</x:f>
        <x:v>24.81917052171402</x:v>
      </x:c>
      <x:c r="E11" s="32" t="n">
        <x:f>1+'02_전투상수'!$C$29*(A11-1)</x:f>
        <x:v>1.48</x:v>
      </x:c>
      <x:c r="F11" s="32" t="n">
        <x:f>'02_전투상수'!$C$42*E11</x:f>
        <x:v>29.6</x:v>
      </x:c>
      <x:c r="G11" s="34" t="n">
        <x:f>'02_전투상수'!$C$38+'02_전투상수'!$C$39*A11</x:f>
        <x:v>1150</x:v>
      </x:c>
      <x:c r="H11" s="34" t="n">
        <x:f>'02_전투상수'!$C$40+'02_전투상수'!$C$41*A11</x:f>
        <x:v>480</x:v>
      </x:c>
    </x:row>
    <x:row r="12" ht="23" customHeight="1">
      <x:c r="A12" t="n">
        <x:v>8</x:v>
      </x:c>
      <x:c r="B12" s="30" t="n">
        <x:f>'02_전투상수'!$C$25*(1+'02_전투상수'!$C$27)^(A12-1)</x:f>
        <x:v>119.96769881456646</x:v>
      </x:c>
      <x:c r="C12" s="30" t="n">
        <x:f>B12*'02_전투상수'!$C$30</x:f>
        <x:v>5398.54644665549</x:v>
      </x:c>
      <x:c r="D12" s="30" t="n">
        <x:f>'02_전투상수'!$C$26*(1+'02_전투상수'!$C$28)^(A12-1)</x:f>
        <x:v>26.18422490040829</x:v>
      </x:c>
      <x:c r="E12" s="32" t="n">
        <x:f>1+'02_전투상수'!$C$29*(A12-1)</x:f>
        <x:v>1.56</x:v>
      </x:c>
      <x:c r="F12" s="32" t="n">
        <x:f>'02_전투상수'!$C$42*E12</x:f>
        <x:v>31.200000000000003</x:v>
      </x:c>
      <x:c r="G12" s="34" t="n">
        <x:f>'02_전투상수'!$C$38+'02_전투상수'!$C$39*A12</x:f>
        <x:v>1200</x:v>
      </x:c>
      <x:c r="H12" s="34" t="n">
        <x:f>'02_전투상수'!$C$40+'02_전투상수'!$C$41*A12</x:f>
        <x:v>520</x:v>
      </x:c>
    </x:row>
    <x:row r="13" ht="23" customHeight="1">
      <x:c r="A13" t="n">
        <x:v>9</x:v>
      </x:c>
      <x:c r="B13" s="30" t="n">
        <x:f>'02_전투상수'!$C$25*(1+'02_전투상수'!$C$27)^(A13-1)</x:f>
        <x:v>129.56511471973178</x:v>
      </x:c>
      <x:c r="C13" s="30" t="n">
        <x:f>B13*'02_전투상수'!$C$30</x:f>
        <x:v>5830.43016238793</x:v>
      </x:c>
      <x:c r="D13" s="30" t="n">
        <x:f>'02_전투상수'!$C$26*(1+'02_전투상수'!$C$28)^(A13-1)</x:f>
        <x:v>27.624357269930748</x:v>
      </x:c>
      <x:c r="E13" s="32" t="n">
        <x:f>1+'02_전투상수'!$C$29*(A13-1)</x:f>
        <x:v>1.6400000000000001</x:v>
      </x:c>
      <x:c r="F13" s="32" t="n">
        <x:f>'02_전투상수'!$C$42*E13</x:f>
        <x:v>32.800000000000004</x:v>
      </x:c>
      <x:c r="G13" s="34" t="n">
        <x:f>'02_전투상수'!$C$38+'02_전투상수'!$C$39*A13</x:f>
        <x:v>1250</x:v>
      </x:c>
      <x:c r="H13" s="34" t="n">
        <x:f>'02_전투상수'!$C$40+'02_전투상수'!$C$41*A13</x:f>
        <x:v>560</x:v>
      </x:c>
    </x:row>
    <x:row r="14" ht="23" customHeight="1">
      <x:c r="A14" t="n">
        <x:v>10</x:v>
      </x:c>
      <x:c r="B14" s="30" t="n">
        <x:f>'02_전투상수'!$C$25*(1+'02_전투상수'!$C$27)^(A14-1)</x:f>
        <x:v>139.93032389731033</x:v>
      </x:c>
      <x:c r="C14" s="30" t="n">
        <x:f>B14*'02_전투상수'!$C$30</x:f>
        <x:v>6296.864575378965</x:v>
      </x:c>
      <x:c r="D14" s="30" t="n">
        <x:f>'02_전투상수'!$C$26*(1+'02_전투상수'!$C$28)^(A14-1)</x:f>
        <x:v>29.143696919776936</x:v>
      </x:c>
      <x:c r="E14" s="32" t="n">
        <x:f>1+'02_전투상수'!$C$29*(A14-1)</x:f>
        <x:v>1.72</x:v>
      </x:c>
      <x:c r="F14" s="32" t="n">
        <x:f>'02_전투상수'!$C$42*E14</x:f>
        <x:v>34.4</x:v>
      </x:c>
      <x:c r="G14" s="34" t="n">
        <x:f>'02_전투상수'!$C$38+'02_전투상수'!$C$39*A14</x:f>
        <x:v>1300</x:v>
      </x:c>
      <x:c r="H14" s="34" t="n">
        <x:f>'02_전투상수'!$C$40+'02_전투상수'!$C$41*A14</x:f>
        <x:v>600</x:v>
      </x:c>
    </x:row>
    <x:row r="15" ht="23" customHeight="1">
      <x:c r="A15" t="n">
        <x:v>11</x:v>
      </x:c>
      <x:c r="B15" s="30" t="n">
        <x:f>'02_전투상수'!$C$25*(1+'02_전투상수'!$C$27)^(A15-1)</x:f>
        <x:v>151.12474980909516</x:v>
      </x:c>
      <x:c r="C15" s="30" t="n">
        <x:f>B15*'02_전투상수'!$C$30</x:f>
        <x:v>6800.613741409283</x:v>
      </x:c>
      <x:c r="D15" s="30" t="n">
        <x:f>'02_전투상수'!$C$26*(1+'02_전투상수'!$C$28)^(A15-1)</x:f>
        <x:v>30.746600250364665</x:v>
      </x:c>
      <x:c r="E15" s="32" t="n">
        <x:f>1+'02_전투상수'!$C$29*(A15-1)</x:f>
        <x:v>1.8</x:v>
      </x:c>
      <x:c r="F15" s="32" t="n">
        <x:f>'02_전투상수'!$C$42*E15</x:f>
        <x:v>36</x:v>
      </x:c>
      <x:c r="G15" s="34" t="n">
        <x:f>'02_전투상수'!$C$38+'02_전투상수'!$C$39*A15</x:f>
        <x:v>1350</x:v>
      </x:c>
      <x:c r="H15" s="34" t="n">
        <x:f>'02_전투상수'!$C$40+'02_전투상수'!$C$41*A15</x:f>
        <x:v>640</x:v>
      </x:c>
    </x:row>
    <x:row r="16" ht="23" customHeight="1">
      <x:c r="A16" t="n">
        <x:v>12</x:v>
      </x:c>
      <x:c r="B16" s="30" t="n">
        <x:f>'02_전투상수'!$C$25*(1+'02_전투상수'!$C$27)^(A16-1)</x:f>
        <x:v>163.21472979382278</x:v>
      </x:c>
      <x:c r="C16" s="30" t="n">
        <x:f>B16*'02_전투상수'!$C$30</x:f>
        <x:v>7344.662840722025</x:v>
      </x:c>
      <x:c r="D16" s="30" t="n">
        <x:f>'02_전투상수'!$C$26*(1+'02_전투상수'!$C$28)^(A16-1)</x:f>
        <x:v>32.43766326413472</x:v>
      </x:c>
      <x:c r="E16" s="32" t="n">
        <x:f>1+'02_전투상수'!$C$29*(A16-1)</x:f>
        <x:v>1.88</x:v>
      </x:c>
      <x:c r="F16" s="32" t="n">
        <x:f>'02_전투상수'!$C$42*E16</x:f>
        <x:v>37.599999999999994</x:v>
      </x:c>
      <x:c r="G16" s="34" t="n">
        <x:f>'02_전투상수'!$C$38+'02_전투상수'!$C$39*A16</x:f>
        <x:v>1400</x:v>
      </x:c>
      <x:c r="H16" s="34" t="n">
        <x:f>'02_전투상수'!$C$40+'02_전투상수'!$C$41*A16</x:f>
        <x:v>680</x:v>
      </x:c>
    </x:row>
    <x:row r="17" ht="23" customHeight="1">
      <x:c r="A17" t="n">
        <x:v>13</x:v>
      </x:c>
      <x:c r="B17" s="30" t="n">
        <x:f>'02_전투상수'!$C$25*(1+'02_전투상수'!$C$27)^(A17-1)</x:f>
        <x:v>176.2719081773286</x:v>
      </x:c>
      <x:c r="C17" s="30" t="n">
        <x:f>B17*'02_전투상수'!$C$30</x:f>
        <x:v>7932.235867979787</x:v>
      </x:c>
      <x:c r="D17" s="30" t="n">
        <x:f>'02_전투상수'!$C$26*(1+'02_전투상수'!$C$28)^(A17-1)</x:f>
        <x:v>34.221734743662125</x:v>
      </x:c>
      <x:c r="E17" s="32" t="n">
        <x:f>1+'02_전투상수'!$C$29*(A17-1)</x:f>
        <x:v>1.96</x:v>
      </x:c>
      <x:c r="F17" s="32" t="n">
        <x:f>'02_전투상수'!$C$42*E17</x:f>
        <x:v>39.2</x:v>
      </x:c>
      <x:c r="G17" s="34" t="n">
        <x:f>'02_전투상수'!$C$38+'02_전투상수'!$C$39*A17</x:f>
        <x:v>1450</x:v>
      </x:c>
      <x:c r="H17" s="34" t="n">
        <x:f>'02_전투상수'!$C$40+'02_전투상수'!$C$41*A17</x:f>
        <x:v>720</x:v>
      </x:c>
    </x:row>
    <x:row r="18" ht="23" customHeight="1">
      <x:c r="A18" t="n">
        <x:v>14</x:v>
      </x:c>
      <x:c r="B18" s="30" t="n">
        <x:f>'02_전투상수'!$C$25*(1+'02_전투상수'!$C$27)^(A18-1)</x:f>
        <x:v>190.37366083151494</x:v>
      </x:c>
      <x:c r="C18" s="30" t="n">
        <x:f>B18*'02_전투상수'!$C$30</x:f>
        <x:v>8566.814737418172</x:v>
      </x:c>
      <x:c r="D18" s="30" t="n">
        <x:f>'02_전투상수'!$C$26*(1+'02_전투상수'!$C$28)^(A18-1)</x:f>
        <x:v>36.10393015456354</x:v>
      </x:c>
      <x:c r="E18" s="32" t="n">
        <x:f>1+'02_전투상수'!$C$29*(A18-1)</x:f>
        <x:v>2.04</x:v>
      </x:c>
      <x:c r="F18" s="32" t="n">
        <x:f>'02_전투상수'!$C$42*E18</x:f>
        <x:v>40.8</x:v>
      </x:c>
      <x:c r="G18" s="34" t="n">
        <x:f>'02_전투상수'!$C$38+'02_전투상수'!$C$39*A18</x:f>
        <x:v>1500</x:v>
      </x:c>
      <x:c r="H18" s="34" t="n">
        <x:f>'02_전투상수'!$C$40+'02_전투상수'!$C$41*A18</x:f>
        <x:v>760</x:v>
      </x:c>
    </x:row>
    <x:row r="19" ht="23" customHeight="1">
      <x:c r="A19" t="n">
        <x:v>15</x:v>
      </x:c>
      <x:c r="B19" s="30" t="n">
        <x:f>'02_전투상수'!$C$25*(1+'02_전투상수'!$C$27)^(A19-1)</x:f>
        <x:v>205.60355369803614</x:v>
      </x:c>
      <x:c r="C19" s="30" t="n">
        <x:f>B19*'02_전투상수'!$C$30</x:f>
        <x:v>9252.159916411627</x:v>
      </x:c>
      <x:c r="D19" s="30" t="n">
        <x:f>'02_전투상수'!$C$26*(1+'02_전투상수'!$C$28)^(A19-1)</x:f>
        <x:v>38.089646313064534</x:v>
      </x:c>
      <x:c r="E19" s="32" t="n">
        <x:f>1+'02_전투상수'!$C$29*(A19-1)</x:f>
        <x:v>2.12</x:v>
      </x:c>
      <x:c r="F19" s="32" t="n">
        <x:f>'02_전투상수'!$C$42*E19</x:f>
        <x:v>42.400000000000006</x:v>
      </x:c>
      <x:c r="G19" s="34" t="n">
        <x:f>'02_전투상수'!$C$38+'02_전투상수'!$C$39*A19</x:f>
        <x:v>1550</x:v>
      </x:c>
      <x:c r="H19" s="34" t="n">
        <x:f>'02_전투상수'!$C$40+'02_전투상수'!$C$41*A19</x:f>
        <x:v>800</x:v>
      </x:c>
    </x:row>
    <x:row r="20" ht="23" customHeight="1">
      <x:c r="A20" t="n">
        <x:v>16</x:v>
      </x:c>
      <x:c r="B20" s="30" t="n">
        <x:f>'02_전투상수'!$C$25*(1+'02_전투상수'!$C$27)^(A20-1)</x:f>
        <x:v>222.05183799387905</x:v>
      </x:c>
      <x:c r="C20" s="30" t="n">
        <x:f>B20*'02_전투상수'!$C$30</x:f>
        <x:v>9992.332709724556</x:v>
      </x:c>
      <x:c r="D20" s="30" t="n">
        <x:f>'02_전투상수'!$C$26*(1+'02_전투상수'!$C$28)^(A20-1)</x:f>
        <x:v>40.18457686028309</x:v>
      </x:c>
      <x:c r="E20" s="32" t="n">
        <x:f>1+'02_전투상수'!$C$29*(A20-1)</x:f>
        <x:v>2.2</x:v>
      </x:c>
      <x:c r="F20" s="32" t="n">
        <x:f>'02_전투상수'!$C$42*E20</x:f>
        <x:v>44</x:v>
      </x:c>
      <x:c r="G20" s="34" t="n">
        <x:f>'02_전투상수'!$C$38+'02_전투상수'!$C$39*A20</x:f>
        <x:v>1600</x:v>
      </x:c>
      <x:c r="H20" s="34" t="n">
        <x:f>'02_전투상수'!$C$40+'02_전투상수'!$C$41*A20</x:f>
        <x:v>840</x:v>
      </x:c>
    </x:row>
    <x:row r="21" ht="23" customHeight="1">
      <x:c r="A21" t="n">
        <x:v>17</x:v>
      </x:c>
      <x:c r="B21" s="30" t="n">
        <x:f>'02_전투상수'!$C$25*(1+'02_전투상수'!$C$27)^(A21-1)</x:f>
        <x:v>239.81598503338938</x:v>
      </x:c>
      <x:c r="C21" s="30" t="n">
        <x:f>B21*'02_전투상수'!$C$30</x:f>
        <x:v>10791.719326502522</x:v>
      </x:c>
      <x:c r="D21" s="30" t="n">
        <x:f>'02_전투상수'!$C$26*(1+'02_전투상수'!$C$28)^(A21-1)</x:f>
        <x:v>42.39472858759865</x:v>
      </x:c>
      <x:c r="E21" s="32" t="n">
        <x:f>1+'02_전투상수'!$C$29*(A21-1)</x:f>
        <x:v>2.2800000000000002</x:v>
      </x:c>
      <x:c r="F21" s="32" t="n">
        <x:f>'02_전투상수'!$C$42*E21</x:f>
        <x:v>45.60000000000001</x:v>
      </x:c>
      <x:c r="G21" s="34" t="n">
        <x:f>'02_전투상수'!$C$38+'02_전투상수'!$C$39*A21</x:f>
        <x:v>1650</x:v>
      </x:c>
      <x:c r="H21" s="34" t="n">
        <x:f>'02_전투상수'!$C$40+'02_전투상수'!$C$41*A21</x:f>
        <x:v>880</x:v>
      </x:c>
    </x:row>
    <x:row r="22" ht="23" customHeight="1">
      <x:c r="A22" t="n">
        <x:v>18</x:v>
      </x:c>
      <x:c r="B22" s="30" t="n">
        <x:f>'02_전투상수'!$C$25*(1+'02_전투상수'!$C$27)^(A22-1)</x:f>
        <x:v>259.00126383606056</x:v>
      </x:c>
      <x:c r="C22" s="30" t="n">
        <x:f>B22*'02_전투상수'!$C$30</x:f>
        <x:v>11655.056872622725</x:v>
      </x:c>
      <x:c r="D22" s="30" t="n">
        <x:f>'02_전투상수'!$C$26*(1+'02_전투상수'!$C$28)^(A22-1)</x:f>
        <x:v>44.72643865991657</x:v>
      </x:c>
      <x:c r="E22" s="32" t="n">
        <x:f>1+'02_전투상수'!$C$29*(A22-1)</x:f>
        <x:v>2.3600000000000003</x:v>
      </x:c>
      <x:c r="F22" s="32" t="n">
        <x:f>'02_전투상수'!$C$42*E22</x:f>
        <x:v>47.2</x:v>
      </x:c>
      <x:c r="G22" s="34" t="n">
        <x:f>'02_전투상수'!$C$38+'02_전투상수'!$C$39*A22</x:f>
        <x:v>1700</x:v>
      </x:c>
      <x:c r="H22" s="34" t="n">
        <x:f>'02_전투상수'!$C$40+'02_전투상수'!$C$41*A22</x:f>
        <x:v>920</x:v>
      </x:c>
    </x:row>
    <x:row r="23" ht="23" customHeight="1">
      <x:c r="A23" t="n">
        <x:v>19</x:v>
      </x:c>
      <x:c r="B23" s="30" t="n">
        <x:f>'02_전투상수'!$C$25*(1+'02_전투상수'!$C$27)^(A23-1)</x:f>
        <x:v>279.7213649429454</x:v>
      </x:c>
      <x:c r="C23" s="30" t="n">
        <x:f>B23*'02_전투상수'!$C$30</x:f>
        <x:v>12587.461422432543</x:v>
      </x:c>
      <x:c r="D23" s="30" t="n">
        <x:f>'02_전투상수'!$C$26*(1+'02_전투상수'!$C$28)^(A23-1)</x:f>
        <x:v>47.18639278621198</x:v>
      </x:c>
      <x:c r="E23" s="32" t="n">
        <x:f>1+'02_전투상수'!$C$29*(A23-1)</x:f>
        <x:v>2.44</x:v>
      </x:c>
      <x:c r="F23" s="32" t="n">
        <x:f>'02_전투상수'!$C$42*E23</x:f>
        <x:v>48.8</x:v>
      </x:c>
      <x:c r="G23" s="34" t="n">
        <x:f>'02_전투상수'!$C$38+'02_전투상수'!$C$39*A23</x:f>
        <x:v>1750</x:v>
      </x:c>
      <x:c r="H23" s="34" t="n">
        <x:f>'02_전투상수'!$C$40+'02_전투상수'!$C$41*A23</x:f>
        <x:v>960</x:v>
      </x:c>
    </x:row>
    <x:row r="24" ht="23" customHeight="1">
      <x:c r="A24" t="n">
        <x:v>20</x:v>
      </x:c>
      <x:c r="B24" s="30" t="n">
        <x:f>'02_전투상수'!$C$25*(1+'02_전투상수'!$C$27)^(A24-1)</x:f>
        <x:v>302.09907413838107</x:v>
      </x:c>
      <x:c r="C24" s="30" t="n">
        <x:f>B24*'02_전투상수'!$C$30</x:f>
        <x:v>13594.458336227148</x:v>
      </x:c>
      <x:c r="D24" s="30" t="n">
        <x:f>'02_전투상수'!$C$26*(1+'02_전투상수'!$C$28)^(A24-1)</x:f>
        <x:v>49.78164438945364</x:v>
      </x:c>
      <x:c r="E24" s="32" t="n">
        <x:f>1+'02_전투상수'!$C$29*(A24-1)</x:f>
        <x:v>2.52</x:v>
      </x:c>
      <x:c r="F24" s="32" t="n">
        <x:f>'02_전투상수'!$C$42*E24</x:f>
        <x:v>50.4</x:v>
      </x:c>
      <x:c r="G24" s="34" t="n">
        <x:f>'02_전투상수'!$C$38+'02_전투상수'!$C$39*A24</x:f>
        <x:v>1800</x:v>
      </x:c>
      <x:c r="H24" s="34" t="n">
        <x:f>'02_전투상수'!$C$40+'02_전투상수'!$C$41*A24</x:f>
        <x:v>1000</x:v>
      </x:c>
    </x:row>
    <x:row r="25" ht="23" customHeight="1">
      <x:c r="A25" t="n">
        <x:v>21</x:v>
      </x:c>
      <x:c r="B25" s="30" t="n">
        <x:f>'02_전투상수'!$C$25*(1+'02_전투상수'!$C$27)^(A25-1)</x:f>
        <x:v>326.26700006945157</x:v>
      </x:c>
      <x:c r="C25" s="30" t="n">
        <x:f>B25*'02_전투상수'!$C$30</x:f>
        <x:v>14682.015003125322</x:v>
      </x:c>
      <x:c r="D25" s="30" t="n">
        <x:f>'02_전투상수'!$C$26*(1+'02_전투상수'!$C$28)^(A25-1)</x:f>
        <x:v>52.519634830873585</x:v>
      </x:c>
      <x:c r="E25" s="32" t="n">
        <x:f>1+'02_전투상수'!$C$29*(A25-1)</x:f>
        <x:v>2.6</x:v>
      </x:c>
      <x:c r="F25" s="32" t="n">
        <x:f>'02_전투상수'!$C$42*E25</x:f>
        <x:v>52</x:v>
      </x:c>
      <x:c r="G25" s="34" t="n">
        <x:f>'02_전투상수'!$C$38+'02_전투상수'!$C$39*A25</x:f>
        <x:v>1850</x:v>
      </x:c>
      <x:c r="H25" s="34" t="n">
        <x:f>'02_전투상수'!$C$40+'02_전투상수'!$C$41*A25</x:f>
        <x:v>1040</x:v>
      </x:c>
    </x:row>
    <x:row r="26" ht="23" customHeight="1">
      <x:c r="A26" t="n">
        <x:v>22</x:v>
      </x:c>
      <x:c r="B26" s="30" t="n">
        <x:f>'02_전투상수'!$C$25*(1+'02_전투상수'!$C$27)^(A26-1)</x:f>
        <x:v>352.36836007500773</x:v>
      </x:c>
      <x:c r="C26" s="30" t="n">
        <x:f>B26*'02_전투상수'!$C$30</x:f>
        <x:v>15856.576203375347</x:v>
      </x:c>
      <x:c r="D26" s="30" t="n">
        <x:f>'02_전투상수'!$C$26*(1+'02_전투상수'!$C$28)^(A26-1)</x:f>
        <x:v>55.40821474657163</x:v>
      </x:c>
      <x:c r="E26" s="32" t="n">
        <x:f>1+'02_전투상수'!$C$29*(A26-1)</x:f>
        <x:v>2.6799999999999997</x:v>
      </x:c>
      <x:c r="F26" s="32" t="n">
        <x:f>'02_전투상수'!$C$42*E26</x:f>
        <x:v>53.599999999999994</x:v>
      </x:c>
      <x:c r="G26" s="34" t="n">
        <x:f>'02_전투상수'!$C$38+'02_전투상수'!$C$39*A26</x:f>
        <x:v>1900</x:v>
      </x:c>
      <x:c r="H26" s="34" t="n">
        <x:f>'02_전투상수'!$C$40+'02_전투상수'!$C$41*A26</x:f>
        <x:v>1080</x:v>
      </x:c>
    </x:row>
    <x:row r="27" ht="23" customHeight="1">
      <x:c r="A27" t="n">
        <x:v>23</x:v>
      </x:c>
      <x:c r="B27" s="30" t="n">
        <x:f>'02_전투상수'!$C$25*(1+'02_전투상수'!$C$27)^(A27-1)</x:f>
        <x:v>380.5578288810084</x:v>
      </x:c>
      <x:c r="C27" s="30" t="n">
        <x:f>B27*'02_전투상수'!$C$30</x:f>
        <x:v>17125.102299645376</x:v>
      </x:c>
      <x:c r="D27" s="30" t="n">
        <x:f>'02_전투상수'!$C$26*(1+'02_전투상수'!$C$28)^(A27-1)</x:f>
        <x:v>58.455666557633066</x:v>
      </x:c>
      <x:c r="E27" s="32" t="n">
        <x:f>1+'02_전투상수'!$C$29*(A27-1)</x:f>
        <x:v>2.76</x:v>
      </x:c>
      <x:c r="F27" s="32" t="n">
        <x:f>'02_전투상수'!$C$42*E27</x:f>
        <x:v>55.199999999999996</x:v>
      </x:c>
      <x:c r="G27" s="34" t="n">
        <x:f>'02_전투상수'!$C$38+'02_전투상수'!$C$39*A27</x:f>
        <x:v>1950</x:v>
      </x:c>
      <x:c r="H27" s="34" t="n">
        <x:f>'02_전투상수'!$C$40+'02_전투상수'!$C$41*A27</x:f>
        <x:v>1120</x:v>
      </x:c>
    </x:row>
    <x:row r="28" ht="23" customHeight="1">
      <x:c r="A28" t="n">
        <x:v>24</x:v>
      </x:c>
      <x:c r="B28" s="30" t="n">
        <x:f>'02_전투상수'!$C$25*(1+'02_전투상수'!$C$27)^(A28-1)</x:f>
        <x:v>411.00245519148905</x:v>
      </x:c>
      <x:c r="C28" s="30" t="n">
        <x:f>B28*'02_전투상수'!$C$30</x:f>
        <x:v>18495.11048361701</x:v>
      </x:c>
      <x:c r="D28" s="30" t="n">
        <x:f>'02_전투상수'!$C$26*(1+'02_전투상수'!$C$28)^(A28-1)</x:f>
        <x:v>61.670728218302884</x:v>
      </x:c>
      <x:c r="E28" s="32" t="n">
        <x:f>1+'02_전투상수'!$C$29*(A28-1)</x:f>
        <x:v>2.84</x:v>
      </x:c>
      <x:c r="F28" s="32" t="n">
        <x:f>'02_전투상수'!$C$42*E28</x:f>
        <x:v>56.8</x:v>
      </x:c>
      <x:c r="G28" s="34" t="n">
        <x:f>'02_전투상수'!$C$38+'02_전투상수'!$C$39*A28</x:f>
        <x:v>2000</x:v>
      </x:c>
      <x:c r="H28" s="34" t="n">
        <x:f>'02_전투상수'!$C$40+'02_전투상수'!$C$41*A28</x:f>
        <x:v>1160</x:v>
      </x:c>
    </x:row>
    <x:row r="29" ht="23" customHeight="1">
      <x:c r="A29" t="n">
        <x:v>25</x:v>
      </x:c>
      <x:c r="B29" s="30" t="n">
        <x:f>'02_전투상수'!$C$25*(1+'02_전투상수'!$C$27)^(A29-1)</x:f>
        <x:v>443.8826516068082</x:v>
      </x:c>
      <x:c r="C29" s="30" t="n">
        <x:f>B29*'02_전투상수'!$C$30</x:f>
        <x:v>19974.71932230637</x:v>
      </x:c>
      <x:c r="D29" s="30" t="n">
        <x:f>'02_전투상수'!$C$26*(1+'02_전투상수'!$C$28)^(A29-1)</x:f>
        <x:v>65.06261827030953</x:v>
      </x:c>
      <x:c r="E29" s="32" t="n">
        <x:f>1+'02_전투상수'!$C$29*(A29-1)</x:f>
        <x:v>2.92</x:v>
      </x:c>
      <x:c r="F29" s="32" t="n">
        <x:f>'02_전투상수'!$C$42*E29</x:f>
        <x:v>58.4</x:v>
      </x:c>
      <x:c r="G29" s="34" t="n">
        <x:f>'02_전투상수'!$C$38+'02_전투상수'!$C$39*A29</x:f>
        <x:v>2050</x:v>
      </x:c>
      <x:c r="H29" s="34" t="n">
        <x:f>'02_전투상수'!$C$40+'02_전투상수'!$C$41*A29</x:f>
        <x:v>1200</x:v>
      </x:c>
    </x:row>
    <x:row r="30" ht="23" customHeight="1">
      <x:c r="A30" t="n">
        <x:v>26</x:v>
      </x:c>
      <x:c r="B30" s="30" t="n">
        <x:f>'02_전투상수'!$C$25*(1+'02_전투상수'!$C$27)^(A30-1)</x:f>
        <x:v>479.39326373535295</x:v>
      </x:c>
      <x:c r="C30" s="30" t="n">
        <x:f>B30*'02_전투상수'!$C$30</x:f>
        <x:v>21572.696868090883</x:v>
      </x:c>
      <x:c r="D30" s="30" t="n">
        <x:f>'02_전투상수'!$C$26*(1+'02_전투상수'!$C$28)^(A30-1)</x:f>
        <x:v>68.64106227517655</x:v>
      </x:c>
      <x:c r="E30" s="32" t="n">
        <x:f>1+'02_전투상수'!$C$29*(A30-1)</x:f>
        <x:v>3</x:v>
      </x:c>
      <x:c r="F30" s="32" t="n">
        <x:f>'02_전투상수'!$C$42*E30</x:f>
        <x:v>60</x:v>
      </x:c>
      <x:c r="G30" s="34" t="n">
        <x:f>'02_전투상수'!$C$38+'02_전투상수'!$C$39*A30</x:f>
        <x:v>2100</x:v>
      </x:c>
      <x:c r="H30" s="34" t="n">
        <x:f>'02_전투상수'!$C$40+'02_전투상수'!$C$41*A30</x:f>
        <x:v>1240</x:v>
      </x:c>
    </x:row>
    <x:row r="31" ht="23" customHeight="1">
      <x:c r="A31" t="n">
        <x:v>27</x:v>
      </x:c>
      <x:c r="B31" s="30" t="n">
        <x:f>'02_전투상수'!$C$25*(1+'02_전투상수'!$C$27)^(A31-1)</x:f>
        <x:v>517.7447248341812</x:v>
      </x:c>
      <x:c r="C31" s="30" t="n">
        <x:f>B31*'02_전투상수'!$C$30</x:f>
        <x:v>23298.512617538152</x:v>
      </x:c>
      <x:c r="D31" s="30" t="n">
        <x:f>'02_전투상수'!$C$26*(1+'02_전투상수'!$C$28)^(A31-1)</x:f>
        <x:v>72.41632070031126</x:v>
      </x:c>
      <x:c r="E31" s="32" t="n">
        <x:f>1+'02_전투상수'!$C$29*(A31-1)</x:f>
        <x:v>3.08</x:v>
      </x:c>
      <x:c r="F31" s="32" t="n">
        <x:f>'02_전투상수'!$C$42*E31</x:f>
        <x:v>61.6</x:v>
      </x:c>
      <x:c r="G31" s="34" t="n">
        <x:f>'02_전투상수'!$C$38+'02_전투상수'!$C$39*A31</x:f>
        <x:v>2150</x:v>
      </x:c>
      <x:c r="H31" s="34" t="n">
        <x:f>'02_전투상수'!$C$40+'02_전투상수'!$C$41*A31</x:f>
        <x:v>1280</x:v>
      </x:c>
    </x:row>
    <x:row r="32" ht="23" customHeight="1">
      <x:c r="A32" t="n">
        <x:v>28</x:v>
      </x:c>
      <x:c r="B32" s="30" t="n">
        <x:f>'02_전투상수'!$C$25*(1+'02_전투상수'!$C$27)^(A32-1)</x:f>
        <x:v>559.1643028209157</x:v>
      </x:c>
      <x:c r="C32" s="30" t="n">
        <x:f>B32*'02_전투상수'!$C$30</x:f>
        <x:v>25162.393626941208</x:v>
      </x:c>
      <x:c r="D32" s="30" t="n">
        <x:f>'02_전투상수'!$C$26*(1+'02_전투상수'!$C$28)^(A32-1)</x:f>
        <x:v>76.39921833882838</x:v>
      </x:c>
      <x:c r="E32" s="32" t="n">
        <x:f>1+'02_전투상수'!$C$29*(A32-1)</x:f>
        <x:v>3.16</x:v>
      </x:c>
      <x:c r="F32" s="32" t="n">
        <x:f>'02_전투상수'!$C$42*E32</x:f>
        <x:v>63.2</x:v>
      </x:c>
      <x:c r="G32" s="34" t="n">
        <x:f>'02_전투상수'!$C$38+'02_전투상수'!$C$39*A32</x:f>
        <x:v>2200</x:v>
      </x:c>
      <x:c r="H32" s="34" t="n">
        <x:f>'02_전투상수'!$C$40+'02_전투상수'!$C$41*A32</x:f>
        <x:v>1320</x:v>
      </x:c>
    </x:row>
    <x:row r="33" ht="23" customHeight="1">
      <x:c r="A33" t="n">
        <x:v>29</x:v>
      </x:c>
      <x:c r="B33" s="30" t="n">
        <x:f>'02_전투상수'!$C$25*(1+'02_전투상수'!$C$27)^(A33-1)</x:f>
        <x:v>603.897447046589</x:v>
      </x:c>
      <x:c r="C33" s="30" t="n">
        <x:f>B33*'02_전투상수'!$C$30</x:f>
        <x:v>27175.385117096506</x:v>
      </x:c>
      <x:c r="D33" s="30" t="n">
        <x:f>'02_전투상수'!$C$26*(1+'02_전투상수'!$C$28)^(A33-1)</x:f>
        <x:v>80.60117534746394</x:v>
      </x:c>
      <x:c r="E33" s="32" t="n">
        <x:f>1+'02_전투상수'!$C$29*(A33-1)</x:f>
        <x:v>3.24</x:v>
      </x:c>
      <x:c r="F33" s="32" t="n">
        <x:f>'02_전투상수'!$C$42*E33</x:f>
        <x:v>64.80000000000001</x:v>
      </x:c>
      <x:c r="G33" s="34" t="n">
        <x:f>'02_전투상수'!$C$38+'02_전투상수'!$C$39*A33</x:f>
        <x:v>2250</x:v>
      </x:c>
      <x:c r="H33" s="34" t="n">
        <x:f>'02_전투상수'!$C$40+'02_전투상수'!$C$41*A33</x:f>
        <x:v>1360</x:v>
      </x:c>
    </x:row>
    <x:row r="34" ht="23" customHeight="1">
      <x:c r="A34" t="n">
        <x:v>30</x:v>
      </x:c>
      <x:c r="B34" s="30" t="n">
        <x:f>'02_전투상수'!$C$25*(1+'02_전투상수'!$C$27)^(A34-1)</x:f>
        <x:v>652.2092428103161</x:v>
      </x:c>
      <x:c r="C34" s="30" t="n">
        <x:f>B34*'02_전투상수'!$C$30</x:f>
        <x:v>29349.415926464226</x:v>
      </x:c>
      <x:c r="D34" s="30" t="n">
        <x:f>'02_전투상수'!$C$26*(1+'02_전투상수'!$C$28)^(A34-1)</x:f>
        <x:v>85.03423999157444</x:v>
      </x:c>
      <x:c r="E34" s="32" t="n">
        <x:f>1+'02_전투상수'!$C$29*(A34-1)</x:f>
        <x:v>3.32</x:v>
      </x:c>
      <x:c r="F34" s="32" t="n">
        <x:f>'02_전투상수'!$C$42*E34</x:f>
        <x:v>66.39999999999999</x:v>
      </x:c>
      <x:c r="G34" s="34" t="n">
        <x:f>'02_전투상수'!$C$38+'02_전투상수'!$C$39*A34</x:f>
        <x:v>2300</x:v>
      </x:c>
      <x:c r="H34" s="34" t="n">
        <x:f>'02_전투상수'!$C$40+'02_전투상수'!$C$41*A34</x:f>
        <x:v>1400</x:v>
      </x:c>
    </x:row>
    <x:row r="35" ht="23" customHeight="1">
      <x:c r="A35" t="n">
        <x:v>31</x:v>
      </x:c>
      <x:c r="B35" s="30" t="n">
        <x:f>'02_전투상수'!$C$25*(1+'02_전투상수'!$C$27)^(A35-1)</x:f>
        <x:v>704.3859822351415</x:v>
      </x:c>
      <x:c r="C35" s="30" t="n">
        <x:f>B35*'02_전투상수'!$C$30</x:f>
        <x:v>31697.369200581365</x:v>
      </x:c>
      <x:c r="D35" s="30" t="n">
        <x:f>'02_전투상수'!$C$26*(1+'02_전투상수'!$C$28)^(A35-1)</x:f>
        <x:v>89.71112319111103</x:v>
      </x:c>
      <x:c r="E35" s="32" t="n">
        <x:f>1+'02_전투상수'!$C$29*(A35-1)</x:f>
        <x:v>3.4</x:v>
      </x:c>
      <x:c r="F35" s="32" t="n">
        <x:f>'02_전투상수'!$C$42*E35</x:f>
        <x:v>68</x:v>
      </x:c>
      <x:c r="G35" s="34" t="n">
        <x:f>'02_전투상수'!$C$38+'02_전투상수'!$C$39*A35</x:f>
        <x:v>2350</x:v>
      </x:c>
      <x:c r="H35" s="34" t="n">
        <x:f>'02_전투상수'!$C$40+'02_전투상수'!$C$41*A35</x:f>
        <x:v>1440</x:v>
      </x:c>
    </x:row>
    <x:row r="36" ht="23" customHeight="1">
      <x:c r="A36" t="n">
        <x:v>32</x:v>
      </x:c>
      <x:c r="B36" s="30" t="n">
        <x:f>'02_전투상수'!$C$25*(1+'02_전투상수'!$C$27)^(A36-1)</x:f>
        <x:v>760.736860813953</x:v>
      </x:c>
      <x:c r="C36" s="30" t="n">
        <x:f>B36*'02_전투상수'!$C$30</x:f>
        <x:v>34233.15873662788</x:v>
      </x:c>
      <x:c r="D36" s="30" t="n">
        <x:f>'02_전투상수'!$C$26*(1+'02_전투상수'!$C$28)^(A36-1)</x:f>
        <x:v>94.64523496662213</x:v>
      </x:c>
      <x:c r="E36" s="32" t="n">
        <x:f>1+'02_전투상수'!$C$29*(A36-1)</x:f>
        <x:v>3.48</x:v>
      </x:c>
      <x:c r="F36" s="32" t="n">
        <x:f>'02_전투상수'!$C$42*E36</x:f>
        <x:v>69.6</x:v>
      </x:c>
      <x:c r="G36" s="34" t="n">
        <x:f>'02_전투상수'!$C$38+'02_전투상수'!$C$39*A36</x:f>
        <x:v>2400</x:v>
      </x:c>
      <x:c r="H36" s="34" t="n">
        <x:f>'02_전투상수'!$C$40+'02_전투상수'!$C$41*A36</x:f>
        <x:v>1480</x:v>
      </x:c>
    </x:row>
    <x:row r="37" ht="23" customHeight="1">
      <x:c r="A37" t="n">
        <x:v>33</x:v>
      </x:c>
      <x:c r="B37" s="30" t="n">
        <x:f>'02_전투상수'!$C$25*(1+'02_전투상수'!$C$27)^(A37-1)</x:f>
        <x:v>821.5958096790691</x:v>
      </x:c>
      <x:c r="C37" s="30" t="n">
        <x:f>B37*'02_전투상수'!$C$30</x:f>
        <x:v>36971.81143555811</x:v>
      </x:c>
      <x:c r="D37" s="30" t="n">
        <x:f>'02_전투상수'!$C$26*(1+'02_전투상수'!$C$28)^(A37-1)</x:f>
        <x:v>99.85072288978634</x:v>
      </x:c>
      <x:c r="E37" s="32" t="n">
        <x:f>1+'02_전투상수'!$C$29*(A37-1)</x:f>
        <x:v>3.56</x:v>
      </x:c>
      <x:c r="F37" s="32" t="n">
        <x:f>'02_전투상수'!$C$42*E37</x:f>
        <x:v>71.2</x:v>
      </x:c>
      <x:c r="G37" s="34" t="n">
        <x:f>'02_전투상수'!$C$38+'02_전투상수'!$C$39*A37</x:f>
        <x:v>2450</x:v>
      </x:c>
      <x:c r="H37" s="34" t="n">
        <x:f>'02_전투상수'!$C$40+'02_전투상수'!$C$41*A37</x:f>
        <x:v>1520</x:v>
      </x:c>
    </x:row>
    <x:row r="38" ht="23" customHeight="1">
      <x:c r="A38" t="n">
        <x:v>34</x:v>
      </x:c>
      <x:c r="B38" s="30" t="n">
        <x:f>'02_전투상수'!$C$25*(1+'02_전투상수'!$C$27)^(A38-1)</x:f>
        <x:v>887.3234744533947</x:v>
      </x:c>
      <x:c r="C38" s="30" t="n">
        <x:f>B38*'02_전투상수'!$C$30</x:f>
        <x:v>39929.55635040277</x:v>
      </x:c>
      <x:c r="D38" s="30" t="n">
        <x:f>'02_전투상수'!$C$26*(1+'02_전투상수'!$C$28)^(A38-1)</x:f>
        <x:v>105.3425126487246</x:v>
      </x:c>
      <x:c r="E38" s="32" t="n">
        <x:f>1+'02_전투상수'!$C$29*(A38-1)</x:f>
        <x:v>3.64</x:v>
      </x:c>
      <x:c r="F38" s="32" t="n">
        <x:f>'02_전투상수'!$C$42*E38</x:f>
        <x:v>72.8</x:v>
      </x:c>
      <x:c r="G38" s="34" t="n">
        <x:f>'02_전투상수'!$C$38+'02_전투상수'!$C$39*A38</x:f>
        <x:v>2500</x:v>
      </x:c>
      <x:c r="H38" s="34" t="n">
        <x:f>'02_전투상수'!$C$40+'02_전투상수'!$C$41*A38</x:f>
        <x:v>1560</x:v>
      </x:c>
    </x:row>
    <x:row r="39" ht="23" customHeight="1">
      <x:c r="A39" t="n">
        <x:v>35</x:v>
      </x:c>
      <x:c r="B39" s="30" t="n">
        <x:f>'02_전투상수'!$C$25*(1+'02_전투상수'!$C$27)^(A39-1)</x:f>
        <x:v>958.3093524096664</x:v>
      </x:c>
      <x:c r="C39" s="30" t="n">
        <x:f>B39*'02_전투상수'!$C$30</x:f>
        <x:v>43123.92085843499</x:v>
      </x:c>
      <x:c r="D39" s="30" t="n">
        <x:f>'02_전투상수'!$C$26*(1+'02_전투상수'!$C$28)^(A39-1)</x:f>
        <x:v>111.13635084440443</x:v>
      </x:c>
      <x:c r="E39" s="32" t="n">
        <x:f>1+'02_전투상수'!$C$29*(A39-1)</x:f>
        <x:v>3.72</x:v>
      </x:c>
      <x:c r="F39" s="32" t="n">
        <x:f>'02_전투상수'!$C$42*E39</x:f>
        <x:v>74.4</x:v>
      </x:c>
      <x:c r="G39" s="34" t="n">
        <x:f>'02_전투상수'!$C$38+'02_전투상수'!$C$39*A39</x:f>
        <x:v>2550</x:v>
      </x:c>
      <x:c r="H39" s="34" t="n">
        <x:f>'02_전투상수'!$C$40+'02_전투상수'!$C$41*A39</x:f>
        <x:v>1600</x:v>
      </x:c>
    </x:row>
    <x:row r="40" ht="23" customHeight="1">
      <x:c r="A40" t="n">
        <x:v>36</x:v>
      </x:c>
      <x:c r="B40" s="30" t="n">
        <x:f>'02_전투상수'!$C$25*(1+'02_전투상수'!$C$27)^(A40-1)</x:f>
        <x:v>1034.9741006024399</x:v>
      </x:c>
      <x:c r="C40" s="30" t="n">
        <x:f>B40*'02_전투상수'!$C$30</x:f>
        <x:v>46573.83452710979</x:v>
      </x:c>
      <x:c r="D40" s="30" t="n">
        <x:f>'02_전투상수'!$C$26*(1+'02_전투상수'!$C$28)^(A40-1)</x:f>
        <x:v>117.24885014084667</x:v>
      </x:c>
      <x:c r="E40" s="32" t="n">
        <x:f>1+'02_전투상수'!$C$29*(A40-1)</x:f>
        <x:v>3.8000000000000003</x:v>
      </x:c>
      <x:c r="F40" s="32" t="n">
        <x:f>'02_전투상수'!$C$42*E40</x:f>
        <x:v>76</x:v>
      </x:c>
      <x:c r="G40" s="34" t="n">
        <x:f>'02_전투상수'!$C$38+'02_전투상수'!$C$39*A40</x:f>
        <x:v>2600</x:v>
      </x:c>
      <x:c r="H40" s="34" t="n">
        <x:f>'02_전투상수'!$C$40+'02_전투상수'!$C$41*A40</x:f>
        <x:v>1640</x:v>
      </x:c>
    </x:row>
    <x:row r="41" ht="23" customHeight="1">
      <x:c r="A41" t="n">
        <x:v>37</x:v>
      </x:c>
      <x:c r="B41" s="30" t="n">
        <x:f>'02_전투상수'!$C$25*(1+'02_전투상수'!$C$27)^(A41-1)</x:f>
        <x:v>1117.772028650635</x:v>
      </x:c>
      <x:c r="C41" s="30" t="n">
        <x:f>B41*'02_전투상수'!$C$30</x:f>
        <x:v>50299.74128927858</x:v>
      </x:c>
      <x:c r="D41" s="30" t="n">
        <x:f>'02_전투상수'!$C$26*(1+'02_전투상수'!$C$28)^(A41-1)</x:f>
        <x:v>123.69753689859323</x:v>
      </x:c>
      <x:c r="E41" s="32" t="n">
        <x:f>1+'02_전투상수'!$C$29*(A41-1)</x:f>
        <x:v>3.88</x:v>
      </x:c>
      <x:c r="F41" s="32" t="n">
        <x:f>'02_전투상수'!$C$42*E41</x:f>
        <x:v>77.6</x:v>
      </x:c>
      <x:c r="G41" s="34" t="n">
        <x:f>'02_전투상수'!$C$38+'02_전투상수'!$C$39*A41</x:f>
        <x:v>2650</x:v>
      </x:c>
      <x:c r="H41" s="34" t="n">
        <x:f>'02_전투상수'!$C$40+'02_전투상수'!$C$41*A41</x:f>
        <x:v>1680</x:v>
      </x:c>
    </x:row>
    <x:row r="42" ht="23" customHeight="1">
      <x:c r="A42" t="n">
        <x:v>38</x:v>
      </x:c>
      <x:c r="B42" s="30" t="n">
        <x:f>'02_전투상수'!$C$25*(1+'02_전투상수'!$C$27)^(A42-1)</x:f>
        <x:v>1207.193790942686</x:v>
      </x:c>
      <x:c r="C42" s="30" t="n">
        <x:f>B42*'02_전투상수'!$C$30</x:f>
        <x:v>54323.720592420876</x:v>
      </x:c>
      <x:c r="D42" s="30" t="n">
        <x:f>'02_전투상수'!$C$26*(1+'02_전투상수'!$C$28)^(A42-1)</x:f>
        <x:v>130.50090142801585</x:v>
      </x:c>
      <x:c r="E42" s="32" t="n">
        <x:f>1+'02_전투상수'!$C$29*(A42-1)</x:f>
        <x:v>3.96</x:v>
      </x:c>
      <x:c r="F42" s="32" t="n">
        <x:f>'02_전투상수'!$C$42*E42</x:f>
        <x:v>79.2</x:v>
      </x:c>
      <x:c r="G42" s="34" t="n">
        <x:f>'02_전투상수'!$C$38+'02_전투상수'!$C$39*A42</x:f>
        <x:v>2700</x:v>
      </x:c>
      <x:c r="H42" s="34" t="n">
        <x:f>'02_전투상수'!$C$40+'02_전투상수'!$C$41*A42</x:f>
        <x:v>1720</x:v>
      </x:c>
    </x:row>
    <x:row r="43" ht="23" customHeight="1">
      <x:c r="A43" t="n">
        <x:v>39</x:v>
      </x:c>
      <x:c r="B43" s="30" t="n">
        <x:f>'02_전투상수'!$C$25*(1+'02_전투상수'!$C$27)^(A43-1)</x:f>
        <x:v>1303.7692942181009</x:v>
      </x:c>
      <x:c r="C43" s="30" t="n">
        <x:f>B43*'02_전투상수'!$C$30</x:f>
        <x:v>58669.61823981454</x:v>
      </x:c>
      <x:c r="D43" s="30" t="n">
        <x:f>'02_전투상수'!$C$26*(1+'02_전투상수'!$C$28)^(A43-1)</x:f>
        <x:v>137.6784510065567</x:v>
      </x:c>
      <x:c r="E43" s="32" t="n">
        <x:f>1+'02_전투상수'!$C$29*(A43-1)</x:f>
        <x:v>4.04</x:v>
      </x:c>
      <x:c r="F43" s="32" t="n">
        <x:f>'02_전투상수'!$C$42*E43</x:f>
        <x:v>80.8</x:v>
      </x:c>
      <x:c r="G43" s="34" t="n">
        <x:f>'02_전투상수'!$C$38+'02_전투상수'!$C$39*A43</x:f>
        <x:v>2750</x:v>
      </x:c>
      <x:c r="H43" s="34" t="n">
        <x:f>'02_전투상수'!$C$40+'02_전투상수'!$C$41*A43</x:f>
        <x:v>1760</x:v>
      </x:c>
    </x:row>
    <x:row r="44" ht="23" customHeight="1">
      <x:c r="A44" t="n">
        <x:v>40</x:v>
      </x:c>
      <x:c r="B44" s="30" t="n">
        <x:f>'02_전투상수'!$C$25*(1+'02_전투상수'!$C$27)^(A44-1)</x:f>
        <x:v>1408.0708377555488</x:v>
      </x:c>
      <x:c r="C44" s="30" t="n">
        <x:f>B44*'02_전투상수'!$C$30</x:f>
        <x:v>63363.187698999696</x:v>
      </x:c>
      <x:c r="D44" s="30" t="n">
        <x:f>'02_전투상수'!$C$26*(1+'02_전투상수'!$C$28)^(A44-1)</x:f>
        <x:v>145.25076581191732</x:v>
      </x:c>
      <x:c r="E44" s="32" t="n">
        <x:f>1+'02_전투상수'!$C$29*(A44-1)</x:f>
        <x:v>4.12</x:v>
      </x:c>
      <x:c r="F44" s="32" t="n">
        <x:f>'02_전투상수'!$C$42*E44</x:f>
        <x:v>82.4</x:v>
      </x:c>
      <x:c r="G44" s="34" t="n">
        <x:f>'02_전투상수'!$C$38+'02_전투상수'!$C$39*A44</x:f>
        <x:v>2800</x:v>
      </x:c>
      <x:c r="H44" s="34" t="n">
        <x:f>'02_전투상수'!$C$40+'02_전투상수'!$C$41*A44</x:f>
        <x:v>1800</x:v>
      </x:c>
    </x:row>
    <x:row r="45" ht="23" customHeight="1">
      <x:c r="A45" t="n">
        <x:v>41</x:v>
      </x:c>
      <x:c r="B45" s="30" t="n">
        <x:f>'02_전투상수'!$C$25*(1+'02_전투상수'!$C$27)^(A45-1)</x:f>
        <x:v>1520.7165047759931</x:v>
      </x:c>
      <x:c r="C45" s="30" t="n">
        <x:f>B45*'02_전투상수'!$C$30</x:f>
        <x:v>68432.24271491969</x:v>
      </x:c>
      <x:c r="D45" s="30" t="n">
        <x:f>'02_전투상수'!$C$26*(1+'02_전투상수'!$C$28)^(A45-1)</x:f>
        <x:v>153.23955793157276</x:v>
      </x:c>
      <x:c r="E45" s="32" t="n">
        <x:f>1+'02_전투상수'!$C$29*(A45-1)</x:f>
        <x:v>4.2</x:v>
      </x:c>
      <x:c r="F45" s="32" t="n">
        <x:f>'02_전투상수'!$C$42*E45</x:f>
        <x:v>84</x:v>
      </x:c>
      <x:c r="G45" s="34" t="n">
        <x:f>'02_전투상수'!$C$38+'02_전투상수'!$C$39*A45</x:f>
        <x:v>2850</x:v>
      </x:c>
      <x:c r="H45" s="34" t="n">
        <x:f>'02_전투상수'!$C$40+'02_전투상수'!$C$41*A45</x:f>
        <x:v>1840</x:v>
      </x:c>
    </x:row>
    <x:row r="46" ht="23" customHeight="1">
      <x:c r="A46" t="n">
        <x:v>42</x:v>
      </x:c>
      <x:c r="B46" s="30" t="n">
        <x:f>'02_전투상수'!$C$25*(1+'02_전투상수'!$C$27)^(A46-1)</x:f>
        <x:v>1642.3738251580726</x:v>
      </x:c>
      <x:c r="C46" s="30" t="n">
        <x:f>B46*'02_전투상수'!$C$30</x:f>
        <x:v>73906.82213211327</x:v>
      </x:c>
      <x:c r="D46" s="30" t="n">
        <x:f>'02_전투상수'!$C$26*(1+'02_전투상수'!$C$28)^(A46-1)</x:f>
        <x:v>161.66773361780926</x:v>
      </x:c>
      <x:c r="E46" s="32" t="n">
        <x:f>1+'02_전투상수'!$C$29*(A46-1)</x:f>
        <x:v>4.28</x:v>
      </x:c>
      <x:c r="F46" s="32" t="n">
        <x:f>'02_전투상수'!$C$42*E46</x:f>
        <x:v>85.60000000000001</x:v>
      </x:c>
      <x:c r="G46" s="34" t="n">
        <x:f>'02_전투상수'!$C$38+'02_전투상수'!$C$39*A46</x:f>
        <x:v>2900</x:v>
      </x:c>
      <x:c r="H46" s="34" t="n">
        <x:f>'02_전투상수'!$C$40+'02_전투상수'!$C$41*A46</x:f>
        <x:v>1880</x:v>
      </x:c>
    </x:row>
    <x:row r="47" ht="23" customHeight="1">
      <x:c r="A47" t="n">
        <x:v>43</x:v>
      </x:c>
      <x:c r="B47" s="30" t="n">
        <x:f>'02_전투상수'!$C$25*(1+'02_전투상수'!$C$27)^(A47-1)</x:f>
        <x:v>1773.7637311707185</x:v>
      </x:c>
      <x:c r="C47" s="30" t="n">
        <x:f>B47*'02_전투상수'!$C$30</x:f>
        <x:v>79819.36790268234</x:v>
      </x:c>
      <x:c r="D47" s="30" t="n">
        <x:f>'02_전투상수'!$C$26*(1+'02_전투상수'!$C$28)^(A47-1)</x:f>
        <x:v>170.55945896678878</x:v>
      </x:c>
      <x:c r="E47" s="32" t="n">
        <x:f>1+'02_전투상수'!$C$29*(A47-1)</x:f>
        <x:v>4.359999999999999</x:v>
      </x:c>
      <x:c r="F47" s="32" t="n">
        <x:f>'02_전투상수'!$C$42*E47</x:f>
        <x:v>87.19999999999999</x:v>
      </x:c>
      <x:c r="G47" s="34" t="n">
        <x:f>'02_전투상수'!$C$38+'02_전투상수'!$C$39*A47</x:f>
        <x:v>2950</x:v>
      </x:c>
      <x:c r="H47" s="34" t="n">
        <x:f>'02_전투상수'!$C$40+'02_전투상수'!$C$41*A47</x:f>
        <x:v>1920</x:v>
      </x:c>
    </x:row>
    <x:row r="48" ht="23" customHeight="1">
      <x:c r="A48" t="n">
        <x:v>44</x:v>
      </x:c>
      <x:c r="B48" s="30" t="n">
        <x:f>'02_전투상수'!$C$25*(1+'02_전투상수'!$C$27)^(A48-1)</x:f>
        <x:v>1915.6648296643762</x:v>
      </x:c>
      <x:c r="C48" s="30" t="n">
        <x:f>B48*'02_전투상수'!$C$30</x:f>
        <x:v>86204.91733489692</x:v>
      </x:c>
      <x:c r="D48" s="30" t="n">
        <x:f>'02_전투상수'!$C$26*(1+'02_전투상수'!$C$28)^(A48-1)</x:f>
        <x:v>179.94022920996213</x:v>
      </x:c>
      <x:c r="E48" s="32" t="n">
        <x:f>1+'02_전투상수'!$C$29*(A48-1)</x:f>
        <x:v>4.4399999999999995</x:v>
      </x:c>
      <x:c r="F48" s="32" t="n">
        <x:f>'02_전투상수'!$C$42*E48</x:f>
        <x:v>88.79999999999998</x:v>
      </x:c>
      <x:c r="G48" s="34" t="n">
        <x:f>'02_전투상수'!$C$38+'02_전투상수'!$C$39*A48</x:f>
        <x:v>3000</x:v>
      </x:c>
      <x:c r="H48" s="34" t="n">
        <x:f>'02_전투상수'!$C$40+'02_전투상수'!$C$41*A48</x:f>
        <x:v>1960</x:v>
      </x:c>
    </x:row>
    <x:row r="49" ht="23" customHeight="1">
      <x:c r="A49" t="n">
        <x:v>45</x:v>
      </x:c>
      <x:c r="B49" s="30" t="n">
        <x:f>'02_전투상수'!$C$25*(1+'02_전투상수'!$C$27)^(A49-1)</x:f>
        <x:v>2068.9180160375263</x:v>
      </x:c>
      <x:c r="C49" s="30" t="n">
        <x:f>B49*'02_전투상수'!$C$30</x:f>
        <x:v>93101.31072168869</x:v>
      </x:c>
      <x:c r="D49" s="30" t="n">
        <x:f>'02_전투상수'!$C$26*(1+'02_전투상수'!$C$28)^(A49-1)</x:f>
        <x:v>189.83694181651003</x:v>
      </x:c>
      <x:c r="E49" s="32" t="n">
        <x:f>1+'02_전투상수'!$C$29*(A49-1)</x:f>
        <x:v>4.52</x:v>
      </x:c>
      <x:c r="F49" s="32" t="n">
        <x:f>'02_전투상수'!$C$42*E49</x:f>
        <x:v>90.39999999999999</x:v>
      </x:c>
      <x:c r="G49" s="34" t="n">
        <x:f>'02_전투상수'!$C$38+'02_전투상수'!$C$39*A49</x:f>
        <x:v>3050</x:v>
      </x:c>
      <x:c r="H49" s="34" t="n">
        <x:f>'02_전투상수'!$C$40+'02_전투상수'!$C$41*A49</x:f>
        <x:v>2000</x:v>
      </x:c>
    </x:row>
    <x:row r="50" ht="23" customHeight="1">
      <x:c r="A50" t="n">
        <x:v>46</x:v>
      </x:c>
      <x:c r="B50" s="30" t="n">
        <x:f>'02_전투상수'!$C$25*(1+'02_전투상수'!$C$27)^(A50-1)</x:f>
        <x:v>2234.4314573205284</x:v>
      </x:c>
      <x:c r="C50" s="30" t="n">
        <x:f>B50*'02_전투상수'!$C$30</x:f>
        <x:v>100549.41557942377</x:v>
      </x:c>
      <x:c r="D50" s="30" t="n">
        <x:f>'02_전투상수'!$C$26*(1+'02_전투상수'!$C$28)^(A50-1)</x:f>
        <x:v>200.27797361641808</x:v>
      </x:c>
      <x:c r="E50" s="32" t="n">
        <x:f>1+'02_전투상수'!$C$29*(A50-1)</x:f>
        <x:v>4.6</x:v>
      </x:c>
      <x:c r="F50" s="32" t="n">
        <x:f>'02_전투상수'!$C$42*E50</x:f>
        <x:v>92</x:v>
      </x:c>
      <x:c r="G50" s="34" t="n">
        <x:f>'02_전투상수'!$C$38+'02_전투상수'!$C$39*A50</x:f>
        <x:v>3100</x:v>
      </x:c>
      <x:c r="H50" s="34" t="n">
        <x:f>'02_전투상수'!$C$40+'02_전투상수'!$C$41*A50</x:f>
        <x:v>2040</x:v>
      </x:c>
    </x:row>
    <x:row r="51" ht="23" customHeight="1">
      <x:c r="A51" t="n">
        <x:v>47</x:v>
      </x:c>
      <x:c r="B51" s="30" t="n">
        <x:f>'02_전투상수'!$C$25*(1+'02_전투상수'!$C$27)^(A51-1)</x:f>
        <x:v>2413.185973906171</x:v>
      </x:c>
      <x:c r="C51" s="30" t="n">
        <x:f>B51*'02_전투상수'!$C$30</x:f>
        <x:v>108593.3688257777</x:v>
      </x:c>
      <x:c r="D51" s="30" t="n">
        <x:f>'02_전투상수'!$C$26*(1+'02_전투상수'!$C$28)^(A51-1)</x:f>
        <x:v>211.29326216532107</x:v>
      </x:c>
      <x:c r="E51" s="32" t="n">
        <x:f>1+'02_전투상수'!$C$29*(A51-1)</x:f>
        <x:v>4.68</x:v>
      </x:c>
      <x:c r="F51" s="32" t="n">
        <x:f>'02_전투상수'!$C$42*E51</x:f>
        <x:v>93.6</x:v>
      </x:c>
      <x:c r="G51" s="34" t="n">
        <x:f>'02_전투상수'!$C$38+'02_전투상수'!$C$39*A51</x:f>
        <x:v>3150</x:v>
      </x:c>
      <x:c r="H51" s="34" t="n">
        <x:f>'02_전투상수'!$C$40+'02_전투상수'!$C$41*A51</x:f>
        <x:v>2080</x:v>
      </x:c>
    </x:row>
    <x:row r="52" ht="23" customHeight="1">
      <x:c r="A52" t="n">
        <x:v>48</x:v>
      </x:c>
      <x:c r="B52" s="30" t="n">
        <x:f>'02_전투상수'!$C$25*(1+'02_전투상수'!$C$27)^(A52-1)</x:f>
        <x:v>2606.240851818665</x:v>
      </x:c>
      <x:c r="C52" s="30" t="n">
        <x:f>B52*'02_전투상수'!$C$30</x:f>
        <x:v>117280.83833183991</x:v>
      </x:c>
      <x:c r="D52" s="30" t="n">
        <x:f>'02_전투상수'!$C$26*(1+'02_전투상수'!$C$28)^(A52-1)</x:f>
        <x:v>222.91439158441372</x:v>
      </x:c>
      <x:c r="E52" s="32" t="n">
        <x:f>1+'02_전투상수'!$C$29*(A52-1)</x:f>
        <x:v>4.76</x:v>
      </x:c>
      <x:c r="F52" s="32" t="n">
        <x:f>'02_전투상수'!$C$42*E52</x:f>
        <x:v>95.19999999999999</x:v>
      </x:c>
      <x:c r="G52" s="34" t="n">
        <x:f>'02_전투상수'!$C$38+'02_전투상수'!$C$39*A52</x:f>
        <x:v>3200</x:v>
      </x:c>
      <x:c r="H52" s="34" t="n">
        <x:f>'02_전투상수'!$C$40+'02_전투상수'!$C$41*A52</x:f>
        <x:v>2120</x:v>
      </x:c>
    </x:row>
    <x:row r="53" ht="23" customHeight="1">
      <x:c r="A53" t="n">
        <x:v>49</x:v>
      </x:c>
      <x:c r="B53" s="30" t="n">
        <x:f>'02_전투상수'!$C$25*(1+'02_전투상수'!$C$27)^(A53-1)</x:f>
        <x:v>2814.740119964158</x:v>
      </x:c>
      <x:c r="C53" s="30" t="n">
        <x:f>B53*'02_전투상수'!$C$30</x:f>
        <x:v>126663.30539838712</x:v>
      </x:c>
      <x:c r="D53" s="30" t="n">
        <x:f>'02_전투상수'!$C$26*(1+'02_전투상수'!$C$28)^(A53-1)</x:f>
        <x:v>235.17468312155643</x:v>
      </x:c>
      <x:c r="E53" s="32" t="n">
        <x:f>1+'02_전투상수'!$C$29*(A53-1)</x:f>
        <x:v>4.84</x:v>
      </x:c>
      <x:c r="F53" s="32" t="n">
        <x:f>'02_전투상수'!$C$42*E53</x:f>
        <x:v>96.8</x:v>
      </x:c>
      <x:c r="G53" s="34" t="n">
        <x:f>'02_전투상수'!$C$38+'02_전투상수'!$C$39*A53</x:f>
        <x:v>3250</x:v>
      </x:c>
      <x:c r="H53" s="34" t="n">
        <x:f>'02_전투상수'!$C$40+'02_전투상수'!$C$41*A53</x:f>
        <x:v>2160</x:v>
      </x:c>
    </x:row>
    <x:row r="54" ht="23" customHeight="1">
      <x:c r="A54" t="n">
        <x:v>50</x:v>
      </x:c>
      <x:c r="B54" s="30" t="n">
        <x:f>'02_전투상수'!$C$25*(1+'02_전투상수'!$C$27)^(A54-1)</x:f>
        <x:v>3039.919329561291</x:v>
      </x:c>
      <x:c r="C54" s="30" t="n">
        <x:f>B54*'02_전투상수'!$C$30</x:f>
        <x:v>136796.36983025807</x:v>
      </x:c>
      <x:c r="D54" s="30" t="n">
        <x:f>'02_전투상수'!$C$26*(1+'02_전투상수'!$C$28)^(A54-1)</x:f>
        <x:v>248.10929069324203</x:v>
      </x:c>
      <x:c r="E54" s="32" t="n">
        <x:f>1+'02_전투상수'!$C$29*(A54-1)</x:f>
        <x:v>4.92</x:v>
      </x:c>
      <x:c r="F54" s="32" t="n">
        <x:f>'02_전투상수'!$C$42*E54</x:f>
        <x:v>98.4</x:v>
      </x:c>
      <x:c r="G54" s="34" t="n">
        <x:f>'02_전투상수'!$C$38+'02_전투상수'!$C$39*A54</x:f>
        <x:v>3300</x:v>
      </x:c>
      <x:c r="H54" s="34" t="n">
        <x:f>'02_전투상수'!$C$40+'02_전투상수'!$C$41*A54</x:f>
        <x:v>2200</x:v>
      </x:c>
    </x:row>
    <x:row r="55" ht="23" customHeight="1">
      <x:c r="A55" t="n">
        <x:v>51</x:v>
      </x:c>
      <x:c r="B55" s="30" t="n">
        <x:f>'02_전투상수'!$C$25*(1+'02_전투상수'!$C$27)^(A55-1)</x:f>
        <x:v>3283.1128759261946</x:v>
      </x:c>
      <x:c r="C55" s="30" t="n">
        <x:f>B55*'02_전투상수'!$C$30</x:f>
        <x:v>147740.07941667875</x:v>
      </x:c>
      <x:c r="D55" s="30" t="n">
        <x:f>'02_전투상수'!$C$26*(1+'02_전투상수'!$C$28)^(A55-1)</x:f>
        <x:v>261.7553016813703</x:v>
      </x:c>
      <x:c r="E55" s="32" t="n">
        <x:f>1+'02_전투상수'!$C$29*(A55-1)</x:f>
        <x:v>5</x:v>
      </x:c>
      <x:c r="F55" s="32" t="n">
        <x:f>'02_전투상수'!$C$42*E55</x:f>
        <x:v>100</x:v>
      </x:c>
      <x:c r="G55" s="34" t="n">
        <x:f>'02_전투상수'!$C$38+'02_전투상수'!$C$39*A55</x:f>
        <x:v>3350</x:v>
      </x:c>
      <x:c r="H55" s="34" t="n">
        <x:f>'02_전투상수'!$C$40+'02_전투상수'!$C$41*A55</x:f>
        <x:v>2240</x:v>
      </x:c>
    </x:row>
    <x:row r="56" ht="23" customHeight="1">
      <x:c r="A56" t="n">
        <x:v>52</x:v>
      </x:c>
      <x:c r="B56" s="30" t="n">
        <x:f>'02_전투상수'!$C$25*(1+'02_전투상수'!$C$27)^(A56-1)</x:f>
        <x:v>3545.7619060002903</x:v>
      </x:c>
      <x:c r="C56" s="30" t="n">
        <x:f>B56*'02_전투상수'!$C$30</x:f>
        <x:v>159559.28577001306</x:v>
      </x:c>
      <x:c r="D56" s="30" t="n">
        <x:f>'02_전투상수'!$C$26*(1+'02_전투상수'!$C$28)^(A56-1)</x:f>
        <x:v>276.1518432738457</x:v>
      </x:c>
      <x:c r="E56" s="32" t="n">
        <x:f>1+'02_전투상수'!$C$29*(A56-1)</x:f>
        <x:v>5.08</x:v>
      </x:c>
      <x:c r="F56" s="32" t="n">
        <x:f>'02_전투상수'!$C$42*E56</x:f>
        <x:v>101.6</x:v>
      </x:c>
      <x:c r="G56" s="34" t="n">
        <x:f>'02_전투상수'!$C$38+'02_전투상수'!$C$39*A56</x:f>
        <x:v>3400</x:v>
      </x:c>
      <x:c r="H56" s="34" t="n">
        <x:f>'02_전투상수'!$C$40+'02_전투상수'!$C$41*A56</x:f>
        <x:v>2280</x:v>
      </x:c>
    </x:row>
    <x:row r="57" ht="23" customHeight="1">
      <x:c r="A57" t="n">
        <x:v>53</x:v>
      </x:c>
      <x:c r="B57" s="30" t="n">
        <x:f>'02_전투상수'!$C$25*(1+'02_전투상수'!$C$27)^(A57-1)</x:f>
        <x:v>3829.422858480314</x:v>
      </x:c>
      <x:c r="C57" s="30" t="n">
        <x:f>B57*'02_전투상수'!$C$30</x:f>
        <x:v>172324.02863161414</x:v>
      </x:c>
      <x:c r="D57" s="30" t="n">
        <x:f>'02_전투상수'!$C$26*(1+'02_전투상수'!$C$28)^(A57-1)</x:f>
        <x:v>291.34019465390713</x:v>
      </x:c>
      <x:c r="E57" s="32" t="n">
        <x:f>1+'02_전투상수'!$C$29*(A57-1)</x:f>
        <x:v>5.16</x:v>
      </x:c>
      <x:c r="F57" s="32" t="n">
        <x:f>'02_전투상수'!$C$42*E57</x:f>
        <x:v>103.2</x:v>
      </x:c>
      <x:c r="G57" s="34" t="n">
        <x:f>'02_전투상수'!$C$38+'02_전투상수'!$C$39*A57</x:f>
        <x:v>3450</x:v>
      </x:c>
      <x:c r="H57" s="34" t="n">
        <x:f>'02_전투상수'!$C$40+'02_전투상수'!$C$41*A57</x:f>
        <x:v>2320</x:v>
      </x:c>
    </x:row>
    <x:row r="58" ht="23" customHeight="1">
      <x:c r="A58" t="n">
        <x:v>54</x:v>
      </x:c>
      <x:c r="B58" s="30" t="n">
        <x:f>'02_전투상수'!$C$25*(1+'02_전투상수'!$C$27)^(A58-1)</x:f>
        <x:v>4135.776687158739</x:v>
      </x:c>
      <x:c r="C58" s="30" t="n">
        <x:f>B58*'02_전투상수'!$C$30</x:f>
        <x:v>186109.95092214327</x:v>
      </x:c>
      <x:c r="D58" s="30" t="n">
        <x:f>'02_전투상수'!$C$26*(1+'02_전투상수'!$C$28)^(A58-1)</x:f>
        <x:v>307.36390535987204</x:v>
      </x:c>
      <x:c r="E58" s="32" t="n">
        <x:f>1+'02_전투상수'!$C$29*(A58-1)</x:f>
        <x:v>5.24</x:v>
      </x:c>
      <x:c r="F58" s="32" t="n">
        <x:f>'02_전투상수'!$C$42*E58</x:f>
        <x:v>104.80000000000001</x:v>
      </x:c>
      <x:c r="G58" s="34" t="n">
        <x:f>'02_전투상수'!$C$38+'02_전투상수'!$C$39*A58</x:f>
        <x:v>3500</x:v>
      </x:c>
      <x:c r="H58" s="34" t="n">
        <x:f>'02_전투상수'!$C$40+'02_전투상수'!$C$41*A58</x:f>
        <x:v>2360</x:v>
      </x:c>
    </x:row>
    <x:row r="59" ht="23" customHeight="1">
      <x:c r="A59" t="n">
        <x:v>55</x:v>
      </x:c>
      <x:c r="B59" s="30" t="n">
        <x:f>'02_전투상수'!$C$25*(1+'02_전투상수'!$C$27)^(A59-1)</x:f>
        <x:v>4466.638822131439</x:v>
      </x:c>
      <x:c r="C59" s="30" t="n">
        <x:f>B59*'02_전투상수'!$C$30</x:f>
        <x:v>200998.74699591476</x:v>
      </x:c>
      <x:c r="D59" s="30" t="n">
        <x:f>'02_전투상수'!$C$26*(1+'02_전투상수'!$C$28)^(A59-1)</x:f>
        <x:v>324.268920154665</x:v>
      </x:c>
      <x:c r="E59" s="32" t="n">
        <x:f>1+'02_전투상수'!$C$29*(A59-1)</x:f>
        <x:v>5.32</x:v>
      </x:c>
      <x:c r="F59" s="32" t="n">
        <x:f>'02_전투상수'!$C$42*E59</x:f>
        <x:v>106.4</x:v>
      </x:c>
      <x:c r="G59" s="34" t="n">
        <x:f>'02_전투상수'!$C$38+'02_전투상수'!$C$39*A59</x:f>
        <x:v>3550</x:v>
      </x:c>
      <x:c r="H59" s="34" t="n">
        <x:f>'02_전투상수'!$C$40+'02_전투상수'!$C$41*A59</x:f>
        <x:v>2400</x:v>
      </x:c>
    </x:row>
    <x:row r="60" ht="23" customHeight="1">
      <x:c r="A60" t="n">
        <x:v>56</x:v>
      </x:c>
      <x:c r="B60" s="30" t="n">
        <x:f>'02_전투상수'!$C$25*(1+'02_전투상수'!$C$27)^(A60-1)</x:f>
        <x:v>4823.969927901954</x:v>
      </x:c>
      <x:c r="C60" s="30" t="n">
        <x:f>B60*'02_전투상수'!$C$30</x:f>
        <x:v>217078.64675558795</x:v>
      </x:c>
      <x:c r="D60" s="30" t="n">
        <x:f>'02_전투상수'!$C$26*(1+'02_전투상수'!$C$28)^(A60-1)</x:f>
        <x:v>342.1037107631716</x:v>
      </x:c>
      <x:c r="E60" s="32" t="n">
        <x:f>1+'02_전투상수'!$C$29*(A60-1)</x:f>
        <x:v>5.4</x:v>
      </x:c>
      <x:c r="F60" s="32" t="n">
        <x:f>'02_전투상수'!$C$42*E60</x:f>
        <x:v>108</x:v>
      </x:c>
      <x:c r="G60" s="34" t="n">
        <x:f>'02_전투상수'!$C$38+'02_전투상수'!$C$39*A60</x:f>
        <x:v>3600</x:v>
      </x:c>
      <x:c r="H60" s="34" t="n">
        <x:f>'02_전투상수'!$C$40+'02_전투상수'!$C$41*A60</x:f>
        <x:v>2440</x:v>
      </x:c>
    </x:row>
    <x:row r="61" ht="23" customHeight="1">
      <x:c r="A61" t="n">
        <x:v>57</x:v>
      </x:c>
      <x:c r="B61" s="30" t="n">
        <x:f>'02_전투상수'!$C$25*(1+'02_전투상수'!$C$27)^(A61-1)</x:f>
        <x:v>5209.887522134111</x:v>
      </x:c>
      <x:c r="C61" s="30" t="n">
        <x:f>B61*'02_전투상수'!$C$30</x:f>
        <x:v>234444.938496035</x:v>
      </x:c>
      <x:c r="D61" s="30" t="n">
        <x:f>'02_전투상수'!$C$26*(1+'02_전투상수'!$C$28)^(A61-1)</x:f>
        <x:v>360.919414855146</x:v>
      </x:c>
      <x:c r="E61" s="32" t="n">
        <x:f>1+'02_전투상수'!$C$29*(A61-1)</x:f>
        <x:v>5.48</x:v>
      </x:c>
      <x:c r="F61" s="32" t="n">
        <x:f>'02_전투상수'!$C$42*E61</x:f>
        <x:v>109.60000000000001</x:v>
      </x:c>
      <x:c r="G61" s="34" t="n">
        <x:f>'02_전투상수'!$C$38+'02_전투상수'!$C$39*A61</x:f>
        <x:v>3650</x:v>
      </x:c>
      <x:c r="H61" s="34" t="n">
        <x:f>'02_전투상수'!$C$40+'02_전투상수'!$C$41*A61</x:f>
        <x:v>2480</x:v>
      </x:c>
    </x:row>
    <x:row r="62" ht="23" customHeight="1">
      <x:c r="A62" t="n">
        <x:v>58</x:v>
      </x:c>
      <x:c r="B62" s="30" t="n">
        <x:f>'02_전투상수'!$C$25*(1+'02_전투상수'!$C$27)^(A62-1)</x:f>
        <x:v>5626.67852390484</x:v>
      </x:c>
      <x:c r="C62" s="30" t="n">
        <x:f>B62*'02_전투상수'!$C$30</x:f>
        <x:v>253200.53357571783</x:v>
      </x:c>
      <x:c r="D62" s="30" t="n">
        <x:f>'02_전투상수'!$C$26*(1+'02_전투상수'!$C$28)^(A62-1)</x:f>
        <x:v>380.76998267217897</x:v>
      </x:c>
      <x:c r="E62" s="32" t="n">
        <x:f>1+'02_전투상수'!$C$29*(A62-1)</x:f>
        <x:v>5.5600000000000005</x:v>
      </x:c>
      <x:c r="F62" s="32" t="n">
        <x:f>'02_전투상수'!$C$42*E62</x:f>
        <x:v>111.20000000000002</x:v>
      </x:c>
      <x:c r="G62" s="34" t="n">
        <x:f>'02_전투상수'!$C$38+'02_전투상수'!$C$39*A62</x:f>
        <x:v>3700</x:v>
      </x:c>
      <x:c r="H62" s="34" t="n">
        <x:f>'02_전투상수'!$C$40+'02_전투상수'!$C$41*A62</x:f>
        <x:v>2520</x:v>
      </x:c>
    </x:row>
    <x:row r="63" ht="23" customHeight="1">
      <x:c r="A63" t="n">
        <x:v>59</x:v>
      </x:c>
      <x:c r="B63" s="30" t="n">
        <x:f>'02_전투상수'!$C$25*(1+'02_전투상수'!$C$27)^(A63-1)</x:f>
        <x:v>6076.812805817228</x:v>
      </x:c>
      <x:c r="C63" s="30" t="n">
        <x:f>B63*'02_전투상수'!$C$30</x:f>
        <x:v>273456.5762617753</x:v>
      </x:c>
      <x:c r="D63" s="30" t="n">
        <x:f>'02_전투상수'!$C$26*(1+'02_전투상수'!$C$28)^(A63-1)</x:f>
        <x:v>401.7123317191488</x:v>
      </x:c>
      <x:c r="E63" s="32" t="n">
        <x:f>1+'02_전투상수'!$C$29*(A63-1)</x:f>
        <x:v>5.64</x:v>
      </x:c>
      <x:c r="F63" s="32" t="n">
        <x:f>'02_전투상수'!$C$42*E63</x:f>
        <x:v>112.8</x:v>
      </x:c>
      <x:c r="G63" s="34" t="n">
        <x:f>'02_전투상수'!$C$38+'02_전투상수'!$C$39*A63</x:f>
        <x:v>3750</x:v>
      </x:c>
      <x:c r="H63" s="34" t="n">
        <x:f>'02_전투상수'!$C$40+'02_전투상수'!$C$41*A63</x:f>
        <x:v>2560</x:v>
      </x:c>
    </x:row>
    <x:row r="64" ht="23" customHeight="1">
      <x:c r="A64" t="n">
        <x:v>60</x:v>
      </x:c>
      <x:c r="B64" s="30" t="n">
        <x:f>'02_전투상수'!$C$25*(1+'02_전투상수'!$C$27)^(A64-1)</x:f>
        <x:v>6562.957830282606</x:v>
      </x:c>
      <x:c r="C64" s="30" t="n">
        <x:f>B64*'02_전투상수'!$C$30</x:f>
        <x:v>295333.10236271727</x:v>
      </x:c>
      <x:c r="D64" s="30" t="n">
        <x:f>'02_전투상수'!$C$26*(1+'02_전투상수'!$C$28)^(A64-1)</x:f>
        <x:v>423.80650996370196</x:v>
      </x:c>
      <x:c r="E64" s="32" t="n">
        <x:f>1+'02_전투상수'!$C$29*(A64-1)</x:f>
        <x:v>5.72</x:v>
      </x:c>
      <x:c r="F64" s="32" t="n">
        <x:f>'02_전투상수'!$C$42*E64</x:f>
        <x:v>114.39999999999999</x:v>
      </x:c>
      <x:c r="G64" s="34" t="n">
        <x:f>'02_전투상수'!$C$38+'02_전투상수'!$C$39*A64</x:f>
        <x:v>3800</x:v>
      </x:c>
      <x:c r="H64" s="34" t="n">
        <x:f>'02_전투상수'!$C$40+'02_전투상수'!$C$41*A64</x:f>
        <x:v>2600</x:v>
      </x:c>
    </x:row>
  </x:sheetData>
  <x:mergeCells>
    <x:mergeCell ref="A1:H1"/>
    <x:mergeCell ref="A2:H2"/>
  </x:mergeCells>
  <x:pageMargins left="0.7" right="0.7" top="0.75" bottom="0.75" header="0.3" footer="0.3"/>
  <x:tableParts count="1">
    <x:tablePart xmlns:r="http://schemas.openxmlformats.org/officeDocument/2006/relationships" r:id="R82871073bd914a4f"/>
  </x:tableParts>
</x:worksheet>
</file>

<file path=xl/worksheets/sheet25.xml><?xml version="1.0" encoding="utf-8"?>
<x:worksheet xmlns:x="http://schemas.openxmlformats.org/spreadsheetml/2006/main">
  <x:sheetPr>
    <x:tabColor rgb="FF283E59"/>
  </x:sheetPr>
  <x:sheetViews>
    <x:sheetView showGridLines="0" workbookViewId="0"/>
  </x:sheetViews>
  <x:sheetFormatPr defaultRowHeight="15"/>
  <x:cols>
    <x:col min="1" max="1" width="8" hidden="0" customWidth="1"/>
    <x:col min="2" max="2" width="16.440000534057617" hidden="0" customWidth="1"/>
    <x:col min="3" max="3" width="11.670000076293945" hidden="0" customWidth="1"/>
    <x:col min="4" max="4" width="11.670000076293945" hidden="0" customWidth="1"/>
    <x:col min="5" max="5" width="11.670000076293945" hidden="0" customWidth="1"/>
    <x:col min="6" max="6" width="11.670000076293945" hidden="0" customWidth="1"/>
    <x:col min="7" max="7" width="11.670000076293945" hidden="0" customWidth="1"/>
    <x:col min="8" max="8" width="11.670000076293945" hidden="0" customWidth="1"/>
    <x:col min="9" max="9" width="11.670000076293945" hidden="0" customWidth="1"/>
    <x:col min="10" max="10" width="10.670000076293945" hidden="0" customWidth="1"/>
    <x:col min="11" max="11" width="10.670000076293945" hidden="0" customWidth="1"/>
  </x:cols>
  <x:sheetData>
    <x:row r="1" ht="23" customHeight="1">
      <x:c r="A1" s="50"/>
      <x:c r="B1" s="50"/>
      <x:c r="C1" s="50"/>
      <x:c r="D1" s="50"/>
      <x:c r="E1" s="50"/>
      <x:c r="F1" s="50"/>
      <x:c r="G1" s="50"/>
      <x:c r="H1" s="50"/>
      <x:c r="I1" s="50"/>
      <x:c r="J1" s="50"/>
      <x:c r="K1" s="50"/>
    </x:row>
    <x:row r="2" ht="23" customHeight="1">
      <x:c r="A2" s="52" t="str">
        <x:v>HELLSCRIPT 균열 단계별 장비 등급 확률</x:v>
      </x:c>
      <x:c r="B2" s="53"/>
      <x:c r="C2" s="53"/>
      <x:c r="D2" s="53"/>
      <x:c r="E2" s="53"/>
      <x:c r="F2" s="53"/>
      <x:c r="G2" s="53"/>
      <x:c r="H2" s="53"/>
      <x:c r="I2" s="53"/>
      <x:c r="J2" s="53"/>
      <x:c r="K2" s="53"/>
    </x:row>
    <x:row r="3" ht="23" customHeight="1">
      <x:c r="A3" s="50" t="str">
        <x:v>Equipment rarity by rift tier</x:v>
      </x:c>
      <x:c r="B3" s="50"/>
      <x:c r="C3" s="50"/>
      <x:c r="D3" s="50"/>
      <x:c r="E3" s="50"/>
      <x:c r="F3" s="50"/>
      <x:c r="G3" s="50"/>
      <x:c r="H3" s="50"/>
      <x:c r="I3" s="50"/>
      <x:c r="J3" s="50"/>
      <x:c r="K3" s="50"/>
    </x:row>
    <x:row r="4" ht="23" customHeight="1">
      <x:c r="A4" s="50" t="str">
        <x:v>경제보상 EC01~EC03·EC18에 적용합니다. 원본의 나머지 콘텐츠와 재설정 고정 비용은 유지합니다.</x:v>
      </x:c>
      <x:c r="B4" s="50"/>
      <x:c r="C4" s="50"/>
      <x:c r="D4" s="50"/>
      <x:c r="E4" s="50"/>
      <x:c r="F4" s="50"/>
      <x:c r="G4" s="50"/>
      <x:c r="H4" s="50"/>
      <x:c r="I4" s="50"/>
      <x:c r="J4" s="50"/>
      <x:c r="K4" s="50"/>
    </x:row>
    <x:row r="5" ht="23" customHeight="1">
      <x:c r="A5" s="50" t="str">
        <x:v>Applies to EC01–EC03 and EC18. Other content and the fixed item-level reroll cost are preserved.</x:v>
      </x:c>
      <x:c r="B5" s="50"/>
      <x:c r="C5" s="50"/>
      <x:c r="D5" s="50"/>
      <x:c r="E5" s="50"/>
      <x:c r="F5" s="50"/>
      <x:c r="G5" s="50"/>
      <x:c r="H5" s="50"/>
      <x:c r="I5" s="50"/>
      <x:c r="J5" s="50"/>
      <x:c r="K5" s="50"/>
    </x:row>
    <x:row r="6" ht="23" customHeight="1">
      <x:c r="A6" s="50" t="str">
        <x:v>밸런스 초안입니다. 사용자 확정값이나 플레이테스트 결과가 아닙니다. / Balance draft; not approved or playtested.</x:v>
      </x:c>
      <x:c r="B6" s="50"/>
      <x:c r="C6" s="50"/>
      <x:c r="D6" s="50"/>
      <x:c r="E6" s="50"/>
      <x:c r="F6" s="50"/>
      <x:c r="G6" s="50"/>
      <x:c r="H6" s="50"/>
      <x:c r="I6" s="50"/>
      <x:c r="J6" s="50"/>
      <x:c r="K6" s="50"/>
    </x:row>
    <x:row r="7" ht="23" customHeight="1">
      <x:c r="A7" s="50"/>
      <x:c r="B7" s="50"/>
      <x:c r="C7" s="50"/>
      <x:c r="D7" s="50"/>
      <x:c r="E7" s="50"/>
      <x:c r="F7" s="50"/>
      <x:c r="G7" s="50"/>
      <x:c r="H7" s="50"/>
      <x:c r="I7" s="50"/>
      <x:c r="J7" s="50"/>
      <x:c r="K7" s="50"/>
    </x:row>
    <x:row r="8" ht="35" customHeight="1">
      <x:c r="A8" s="58" t="str">
        <x:v>단계
Tier</x:v>
      </x:c>
      <x:c r="B8" s="59" t="str">
        <x:v>획득 경로
Source</x:v>
      </x:c>
      <x:c r="C8" s="59" t="str">
        <x:v>일반
Common</x:v>
      </x:c>
      <x:c r="D8" s="59" t="str">
        <x:v>마법
Magic</x:v>
      </x:c>
      <x:c r="E8" s="59" t="str">
        <x:v>레어
Rare</x:v>
      </x:c>
      <x:c r="F8" s="59" t="str">
        <x:v>전설
Legendary</x:v>
      </x:c>
      <x:c r="G8" s="59" t="str">
        <x:v>합계
Total</x:v>
      </x:c>
      <x:c r="H8" s="59" t="str">
        <x:v>레어 이상
Rare+</x:v>
      </x:c>
      <x:c r="I8" s="59" t="str">
        <x:v>마법 이상
Magic+</x:v>
      </x:c>
      <x:c r="J8" s="59" t="str">
        <x:v>성장도 g
Growth</x:v>
      </x:c>
      <x:c r="K8" s="60" t="str">
        <x:v>비전설 배율
Scale</x:v>
      </x:c>
    </x:row>
    <x:row r="9" ht="23" customHeight="1">
      <x:c r="A9" s="72" t="n">
        <x:v>1</x:v>
      </x:c>
      <x:c r="B9" s="61" t="str">
        <x:v>일반 / Normal</x:v>
      </x:c>
      <x:c r="C9" s="76" t="n">
        <x:f>$B$42*K9</x:f>
        <x:v>0.55</x:v>
      </x:c>
      <x:c r="D9" s="76" t="n">
        <x:f>$C$42*K9</x:f>
        <x:v>0.25</x:v>
      </x:c>
      <x:c r="E9" s="76" t="n">
        <x:f>$D$42*K9</x:f>
        <x:v>0.19</x:v>
      </x:c>
      <x:c r="F9" s="84" t="n">
        <x:f>$E$42+($F$42-$E$42)*J9</x:f>
        <x:v>0.01</x:v>
      </x:c>
      <x:c r="G9" s="76" t="n">
        <x:f>SUM(C9:F9)</x:f>
        <x:v>1</x:v>
      </x:c>
      <x:c r="H9" s="76" t="n">
        <x:f>SUM(E9:F9)</x:f>
        <x:v>0.2</x:v>
      </x:c>
      <x:c r="I9" s="76" t="n">
        <x:f>SUM(D9:F9)</x:f>
        <x:v>0.45</x:v>
      </x:c>
      <x:c r="J9" s="76" t="n">
        <x:f>MAX(0,A9-1)/(MAX(0,A9-1)+$B$39)</x:f>
        <x:v>0</x:v>
      </x:c>
      <x:c r="K9" s="77" t="n">
        <x:f>(1-F9)/(1-$E$42)</x:f>
        <x:v>1</x:v>
      </x:c>
    </x:row>
    <x:row r="10" ht="23" customHeight="1">
      <x:c r="A10" s="73" t="n">
        <x:v>10</x:v>
      </x:c>
      <x:c r="B10" s="50" t="str">
        <x:v>일반 / Normal</x:v>
      </x:c>
      <x:c r="C10" s="78" t="n">
        <x:f>$B$42*K10</x:f>
        <x:v>0.5422413793103449</x:v>
      </x:c>
      <x:c r="D10" s="78" t="n">
        <x:f>$C$42*K10</x:f>
        <x:v>0.24647335423197492</x:v>
      </x:c>
      <x:c r="E10" s="78" t="n">
        <x:f>$D$42*K10</x:f>
        <x:v>0.18731974921630093</x:v>
      </x:c>
      <x:c r="F10" s="85" t="n">
        <x:f>$E$42+($F$42-$E$42)*J10</x:f>
        <x:v>0.02396551724137931</x:v>
      </x:c>
      <x:c r="G10" s="78" t="n">
        <x:f>SUM(C10:F10)</x:f>
        <x:v>1</x:v>
      </x:c>
      <x:c r="H10" s="78" t="n">
        <x:f>SUM(E10:F10)</x:f>
        <x:v>0.21128526645768025</x:v>
      </x:c>
      <x:c r="I10" s="78" t="n">
        <x:f>SUM(D10:F10)</x:f>
        <x:v>0.4577586206896551</x:v>
      </x:c>
      <x:c r="J10" s="78" t="n">
        <x:f>MAX(0,A10-1)/(MAX(0,A10-1)+$B$39)</x:f>
        <x:v>0.15517241379310345</x:v>
      </x:c>
      <x:c r="K10" s="79" t="n">
        <x:f>(1-F10)/(1-$E$42)</x:f>
        <x:v>0.9858934169278997</x:v>
      </x:c>
    </x:row>
    <x:row r="11" ht="23" customHeight="1">
      <x:c r="A11" s="73" t="n">
        <x:v>20</x:v>
      </x:c>
      <x:c r="B11" s="50" t="str">
        <x:v>일반 / Normal</x:v>
      </x:c>
      <x:c r="C11" s="78" t="n">
        <x:f>$B$42*K11</x:f>
        <x:v>0.536029411764706</x:v>
      </x:c>
      <x:c r="D11" s="78" t="n">
        <x:f>$C$42*K11</x:f>
        <x:v>0.24364973262032086</x:v>
      </x:c>
      <x:c r="E11" s="78" t="n">
        <x:f>$D$42*K11</x:f>
        <x:v>0.18517379679144386</x:v>
      </x:c>
      <x:c r="F11" s="85" t="n">
        <x:f>$E$42+($F$42-$E$42)*J11</x:f>
        <x:v>0.03514705882352941</x:v>
      </x:c>
      <x:c r="G11" s="78" t="n">
        <x:f>SUM(C11:F11)</x:f>
        <x:v>1</x:v>
      </x:c>
      <x:c r="H11" s="78" t="n">
        <x:f>SUM(E11:F11)</x:f>
        <x:v>0.22032085561497328</x:v>
      </x:c>
      <x:c r="I11" s="78" t="n">
        <x:f>SUM(D11:F11)</x:f>
        <x:v>0.46397058823529413</x:v>
      </x:c>
      <x:c r="J11" s="78" t="n">
        <x:f>MAX(0,A11-1)/(MAX(0,A11-1)+$B$39)</x:f>
        <x:v>0.27941176470588236</x:v>
      </x:c>
      <x:c r="K11" s="79" t="n">
        <x:f>(1-F11)/(1-$E$42)</x:f>
        <x:v>0.9745989304812834</x:v>
      </x:c>
    </x:row>
    <x:row r="12" ht="23" customHeight="1">
      <x:c r="A12" s="73" t="n">
        <x:v>30</x:v>
      </x:c>
      <x:c r="B12" s="50" t="str">
        <x:v>일반 / Normal</x:v>
      </x:c>
      <x:c r="C12" s="78" t="n">
        <x:f>$B$42*K12</x:f>
        <x:v>0.5314102564102564</x:v>
      </x:c>
      <x:c r="D12" s="78" t="n">
        <x:f>$C$42*K12</x:f>
        <x:v>0.24155011655011654</x:v>
      </x:c>
      <x:c r="E12" s="78" t="n">
        <x:f>$D$42*K12</x:f>
        <x:v>0.18357808857808858</x:v>
      </x:c>
      <x:c r="F12" s="85" t="n">
        <x:f>$E$42+($F$42-$E$42)*J12</x:f>
        <x:v>0.04346153846153847</x:v>
      </x:c>
      <x:c r="G12" s="78" t="n">
        <x:f>SUM(C12:F12)</x:f>
        <x:v>0.9999999999999999</x:v>
      </x:c>
      <x:c r="H12" s="78" t="n">
        <x:f>SUM(E12:F12)</x:f>
        <x:v>0.22703962703962705</x:v>
      </x:c>
      <x:c r="I12" s="78" t="n">
        <x:f>SUM(D12:F12)</x:f>
        <x:v>0.4685897435897436</x:v>
      </x:c>
      <x:c r="J12" s="78" t="n">
        <x:f>MAX(0,A12-1)/(MAX(0,A12-1)+$B$39)</x:f>
        <x:v>0.3717948717948718</x:v>
      </x:c>
      <x:c r="K12" s="79" t="n">
        <x:f>(1-F12)/(1-$E$42)</x:f>
        <x:v>0.9662004662004662</x:v>
      </x:c>
    </x:row>
    <x:row r="13" ht="23" customHeight="1">
      <x:c r="A13" s="73" t="n">
        <x:v>50</x:v>
      </x:c>
      <x:c r="B13" s="50" t="str">
        <x:v>일반 / Normal</x:v>
      </x:c>
      <x:c r="C13" s="78" t="n">
        <x:f>$B$42*K13</x:f>
        <x:v>0.525</x:v>
      </x:c>
      <x:c r="D13" s="78" t="n">
        <x:f>$C$42*K13</x:f>
        <x:v>0.23863636363636362</x:v>
      </x:c>
      <x:c r="E13" s="78" t="n">
        <x:f>$D$42*K13</x:f>
        <x:v>0.18136363636363637</x:v>
      </x:c>
      <x:c r="F13" s="85" t="n">
        <x:f>$E$42+($F$42-$E$42)*J13</x:f>
        <x:v>0.05500000000000001</x:v>
      </x:c>
      <x:c r="G13" s="78" t="n">
        <x:f>SUM(C13:F13)</x:f>
        <x:v>1</x:v>
      </x:c>
      <x:c r="H13" s="78" t="n">
        <x:f>SUM(E13:F13)</x:f>
        <x:v>0.2363636363636364</x:v>
      </x:c>
      <x:c r="I13" s="78" t="n">
        <x:f>SUM(D13:F13)</x:f>
        <x:v>0.475</x:v>
      </x:c>
      <x:c r="J13" s="78" t="n">
        <x:f>MAX(0,A13-1)/(MAX(0,A13-1)+$B$39)</x:f>
        <x:v>0.5</x:v>
      </x:c>
      <x:c r="K13" s="79" t="n">
        <x:f>(1-F13)/(1-$E$42)</x:f>
        <x:v>0.9545454545454545</x:v>
      </x:c>
    </x:row>
    <x:row r="14" ht="23" customHeight="1">
      <x:c r="A14" s="73" t="n">
        <x:v>100</x:v>
      </x:c>
      <x:c r="B14" s="50" t="str">
        <x:v>일반 / Normal</x:v>
      </x:c>
      <x:c r="C14" s="78" t="n">
        <x:f>$B$42*K14</x:f>
        <x:v>0.5165540540540541</x:v>
      </x:c>
      <x:c r="D14" s="78" t="n">
        <x:f>$C$42*K14</x:f>
        <x:v>0.2347972972972973</x:v>
      </x:c>
      <x:c r="E14" s="78" t="n">
        <x:f>$D$42*K14</x:f>
        <x:v>0.17844594594594596</x:v>
      </x:c>
      <x:c r="F14" s="85" t="n">
        <x:f>$E$42+($F$42-$E$42)*J14</x:f>
        <x:v>0.07020270270270271</x:v>
      </x:c>
      <x:c r="G14" s="78" t="n">
        <x:f>SUM(C14:F14)</x:f>
        <x:v>1.0000000000000002</x:v>
      </x:c>
      <x:c r="H14" s="78" t="n">
        <x:f>SUM(E14:F14)</x:f>
        <x:v>0.24864864864864866</x:v>
      </x:c>
      <x:c r="I14" s="78" t="n">
        <x:f>SUM(D14:F14)</x:f>
        <x:v>0.4834459459459459</x:v>
      </x:c>
      <x:c r="J14" s="78" t="n">
        <x:f>MAX(0,A14-1)/(MAX(0,A14-1)+$B$39)</x:f>
        <x:v>0.668918918918919</x:v>
      </x:c>
      <x:c r="K14" s="79" t="n">
        <x:f>(1-F14)/(1-$E$42)</x:f>
        <x:v>0.9391891891891893</x:v>
      </x:c>
    </x:row>
    <x:row r="15" ht="23" customHeight="1">
      <x:c r="A15" s="73" t="n">
        <x:v>300</x:v>
      </x:c>
      <x:c r="B15" s="50" t="str">
        <x:v>일반 / Normal</x:v>
      </x:c>
      <x:c r="C15" s="78" t="n">
        <x:f>$B$42*K15</x:f>
        <x:v>0.5070402298850575</x:v>
      </x:c>
      <x:c r="D15" s="78" t="n">
        <x:f>$C$42*K15</x:f>
        <x:v>0.23047283176593522</x:v>
      </x:c>
      <x:c r="E15" s="78" t="n">
        <x:f>$D$42*K15</x:f>
        <x:v>0.17515935214211076</x:v>
      </x:c>
      <x:c r="F15" s="85" t="n">
        <x:f>$E$42+($F$42-$E$42)*J15</x:f>
        <x:v>0.08732758620689655</x:v>
      </x:c>
      <x:c r="G15" s="78" t="n">
        <x:f>SUM(C15:F15)</x:f>
        <x:v>1</x:v>
      </x:c>
      <x:c r="H15" s="78" t="n">
        <x:f>SUM(E15:F15)</x:f>
        <x:v>0.2624869383490073</x:v>
      </x:c>
      <x:c r="I15" s="78" t="n">
        <x:f>SUM(D15:F15)</x:f>
        <x:v>0.4929597701149426</x:v>
      </x:c>
      <x:c r="J15" s="78" t="n">
        <x:f>MAX(0,A15-1)/(MAX(0,A15-1)+$B$39)</x:f>
        <x:v>0.8591954022988506</x:v>
      </x:c>
      <x:c r="K15" s="79" t="n">
        <x:f>(1-F15)/(1-$E$42)</x:f>
        <x:v>0.9218913270637409</x:v>
      </x:c>
    </x:row>
    <x:row r="16" ht="23" customHeight="1">
      <x:c r="A16" s="73" t="n">
        <x:v>1000</x:v>
      </x:c>
      <x:c r="B16" s="50" t="str">
        <x:v>일반 / Normal</x:v>
      </x:c>
      <x:c r="C16" s="78" t="n">
        <x:f>$B$42*K16</x:f>
        <x:v>0.5023377862595421</x:v>
      </x:c>
      <x:c r="D16" s="78" t="n">
        <x:f>$C$42*K16</x:f>
        <x:v>0.2283353573907009</x:v>
      </x:c>
      <x:c r="E16" s="78" t="n">
        <x:f>$D$42*K16</x:f>
        <x:v>0.17353487161693268</x:v>
      </x:c>
      <x:c r="F16" s="85" t="n">
        <x:f>$E$42+($F$42-$E$42)*J16</x:f>
        <x:v>0.09579198473282444</x:v>
      </x:c>
      <x:c r="G16" s="78" t="n">
        <x:f>SUM(C16:F16)</x:f>
        <x:v>1</x:v>
      </x:c>
      <x:c r="H16" s="78" t="n">
        <x:f>SUM(E16:F16)</x:f>
        <x:v>0.2693268563497571</x:v>
      </x:c>
      <x:c r="I16" s="78" t="n">
        <x:f>SUM(D16:F16)</x:f>
        <x:v>0.49766221374045805</x:v>
      </x:c>
      <x:c r="J16" s="78" t="n">
        <x:f>MAX(0,A16-1)/(MAX(0,A16-1)+$B$39)</x:f>
        <x:v>0.9532442748091603</x:v>
      </x:c>
      <x:c r="K16" s="79" t="n">
        <x:f>(1-F16)/(1-$E$42)</x:f>
        <x:v>0.9133414295628036</x:v>
      </x:c>
    </x:row>
    <x:row r="17" ht="23" customHeight="1">
      <x:c r="A17" s="74" t="n">
        <x:v>1</x:v>
      </x:c>
      <x:c r="B17" s="62" t="str">
        <x:v>정예 / Elite</x:v>
      </x:c>
      <x:c r="C17" s="80" t="n">
        <x:f>$B$43*K17</x:f>
        <x:v>0</x:v>
      </x:c>
      <x:c r="D17" s="80" t="n">
        <x:f>$C$43*K17</x:f>
        <x:v>0.6</x:v>
      </x:c>
      <x:c r="E17" s="80" t="n">
        <x:f>$D$43*K17</x:f>
        <x:v>0.35</x:v>
      </x:c>
      <x:c r="F17" s="86" t="n">
        <x:f>$E$43+($F$43-$E$43)*J17</x:f>
        <x:v>0.05</x:v>
      </x:c>
      <x:c r="G17" s="80" t="n">
        <x:f>SUM(C17:F17)</x:f>
        <x:v>1</x:v>
      </x:c>
      <x:c r="H17" s="80" t="n">
        <x:f>SUM(E17:F17)</x:f>
        <x:v>0.39999999999999997</x:v>
      </x:c>
      <x:c r="I17" s="80" t="n">
        <x:f>SUM(D17:F17)</x:f>
        <x:v>1</x:v>
      </x:c>
      <x:c r="J17" s="80" t="n">
        <x:f>MAX(0,A17-1)/(MAX(0,A17-1)+$B$39)</x:f>
        <x:v>0</x:v>
      </x:c>
      <x:c r="K17" s="81" t="n">
        <x:f>(1-F17)/(1-$E$43)</x:f>
        <x:v>1</x:v>
      </x:c>
    </x:row>
    <x:row r="18" ht="23" customHeight="1">
      <x:c r="A18" s="75" t="n">
        <x:v>10</x:v>
      </x:c>
      <x:c r="B18" s="63" t="str">
        <x:v>정예 / Elite</x:v>
      </x:c>
      <x:c r="C18" s="82" t="n">
        <x:f>$B$43*K18</x:f>
        <x:v>0</x:v>
      </x:c>
      <x:c r="D18" s="82" t="n">
        <x:f>$C$43*K18</x:f>
        <x:v>0.5803992740471869</x:v>
      </x:c>
      <x:c r="E18" s="82" t="n">
        <x:f>$D$43*K18</x:f>
        <x:v>0.3385662431941924</x:v>
      </x:c>
      <x:c r="F18" s="87" t="n">
        <x:f>$E$43+($F$43-$E$43)*J18</x:f>
        <x:v>0.0810344827586207</x:v>
      </x:c>
      <x:c r="G18" s="82" t="n">
        <x:f>SUM(C18:F18)</x:f>
        <x:v>1</x:v>
      </x:c>
      <x:c r="H18" s="82" t="n">
        <x:f>SUM(E18:F18)</x:f>
        <x:v>0.41960072595281306</x:v>
      </x:c>
      <x:c r="I18" s="82" t="n">
        <x:f>SUM(D18:F18)</x:f>
        <x:v>1</x:v>
      </x:c>
      <x:c r="J18" s="82" t="n">
        <x:f>MAX(0,A18-1)/(MAX(0,A18-1)+$B$39)</x:f>
        <x:v>0.15517241379310345</x:v>
      </x:c>
      <x:c r="K18" s="83" t="n">
        <x:f>(1-F18)/(1-$E$43)</x:f>
        <x:v>0.9673321234119783</x:v>
      </x:c>
    </x:row>
    <x:row r="19" ht="23" customHeight="1">
      <x:c r="A19" s="75" t="n">
        <x:v>20</x:v>
      </x:c>
      <x:c r="B19" s="63" t="str">
        <x:v>정예 / Elite</x:v>
      </x:c>
      <x:c r="C19" s="82" t="n">
        <x:f>$B$43*K19</x:f>
        <x:v>0</x:v>
      </x:c>
      <x:c r="D19" s="82" t="n">
        <x:f>$C$43*K19</x:f>
        <x:v>0.5647058823529412</x:v>
      </x:c>
      <x:c r="E19" s="82" t="n">
        <x:f>$D$43*K19</x:f>
        <x:v>0.32941176470588235</x:v>
      </x:c>
      <x:c r="F19" s="87" t="n">
        <x:f>$E$43+($F$43-$E$43)*J19</x:f>
        <x:v>0.10588235294117648</x:v>
      </x:c>
      <x:c r="G19" s="82" t="n">
        <x:f>SUM(C19:F19)</x:f>
        <x:v>1</x:v>
      </x:c>
      <x:c r="H19" s="82" t="n">
        <x:f>SUM(E19:F19)</x:f>
        <x:v>0.43529411764705883</x:v>
      </x:c>
      <x:c r="I19" s="82" t="n">
        <x:f>SUM(D19:F19)</x:f>
        <x:v>1</x:v>
      </x:c>
      <x:c r="J19" s="82" t="n">
        <x:f>MAX(0,A19-1)/(MAX(0,A19-1)+$B$39)</x:f>
        <x:v>0.27941176470588236</x:v>
      </x:c>
      <x:c r="K19" s="83" t="n">
        <x:f>(1-F19)/(1-$E$43)</x:f>
        <x:v>0.9411764705882353</x:v>
      </x:c>
    </x:row>
    <x:row r="20" ht="23" customHeight="1">
      <x:c r="A20" s="75" t="n">
        <x:v>30</x:v>
      </x:c>
      <x:c r="B20" s="63" t="str">
        <x:v>정예 / Elite</x:v>
      </x:c>
      <x:c r="C20" s="82" t="n">
        <x:f>$B$43*K20</x:f>
        <x:v>0</x:v>
      </x:c>
      <x:c r="D20" s="82" t="n">
        <x:f>$C$43*K20</x:f>
        <x:v>0.5530364372469636</x:v>
      </x:c>
      <x:c r="E20" s="82" t="n">
        <x:f>$D$43*K20</x:f>
        <x:v>0.3226045883940621</x:v>
      </x:c>
      <x:c r="F20" s="87" t="n">
        <x:f>$E$43+($F$43-$E$43)*J20</x:f>
        <x:v>0.12435897435897436</x:v>
      </x:c>
      <x:c r="G20" s="82" t="n">
        <x:f>SUM(C20:F20)</x:f>
        <x:v>1</x:v>
      </x:c>
      <x:c r="H20" s="82" t="n">
        <x:f>SUM(E20:F20)</x:f>
        <x:v>0.44696356275303645</x:v>
      </x:c>
      <x:c r="I20" s="82" t="n">
        <x:f>SUM(D20:F20)</x:f>
        <x:v>1</x:v>
      </x:c>
      <x:c r="J20" s="82" t="n">
        <x:f>MAX(0,A20-1)/(MAX(0,A20-1)+$B$39)</x:f>
        <x:v>0.3717948717948718</x:v>
      </x:c>
      <x:c r="K20" s="83" t="n">
        <x:f>(1-F20)/(1-$E$43)</x:f>
        <x:v>0.921727395411606</x:v>
      </x:c>
    </x:row>
    <x:row r="21" ht="23" customHeight="1">
      <x:c r="A21" s="75" t="n">
        <x:v>50</x:v>
      </x:c>
      <x:c r="B21" s="63" t="str">
        <x:v>정예 / Elite</x:v>
      </x:c>
      <x:c r="C21" s="82" t="n">
        <x:f>$B$43*K21</x:f>
        <x:v>0</x:v>
      </x:c>
      <x:c r="D21" s="82" t="n">
        <x:f>$C$43*K21</x:f>
        <x:v>0.5368421052631579</x:v>
      </x:c>
      <x:c r="E21" s="82" t="n">
        <x:f>$D$43*K21</x:f>
        <x:v>0.3131578947368421</x:v>
      </x:c>
      <x:c r="F21" s="87" t="n">
        <x:f>$E$43+($F$43-$E$43)*J21</x:f>
        <x:v>0.15000000000000002</x:v>
      </x:c>
      <x:c r="G21" s="82" t="n">
        <x:f>SUM(C21:F21)</x:f>
        <x:v>1</x:v>
      </x:c>
      <x:c r="H21" s="82" t="n">
        <x:f>SUM(E21:F21)</x:f>
        <x:v>0.4631578947368421</x:v>
      </x:c>
      <x:c r="I21" s="82" t="n">
        <x:f>SUM(D21:F21)</x:f>
        <x:v>1</x:v>
      </x:c>
      <x:c r="J21" s="82" t="n">
        <x:f>MAX(0,A21-1)/(MAX(0,A21-1)+$B$39)</x:f>
        <x:v>0.5</x:v>
      </x:c>
      <x:c r="K21" s="83" t="n">
        <x:f>(1-F21)/(1-$E$43)</x:f>
        <x:v>0.8947368421052632</x:v>
      </x:c>
    </x:row>
    <x:row r="22" ht="23" customHeight="1">
      <x:c r="A22" s="75" t="n">
        <x:v>100</x:v>
      </x:c>
      <x:c r="B22" s="63" t="str">
        <x:v>정예 / Elite</x:v>
      </x:c>
      <x:c r="C22" s="82" t="n">
        <x:f>$B$43*K22</x:f>
        <x:v>0</x:v>
      </x:c>
      <x:c r="D22" s="82" t="n">
        <x:f>$C$43*K22</x:f>
        <x:v>0.5155049786628734</x:v>
      </x:c>
      <x:c r="E22" s="82" t="n">
        <x:f>$D$43*K22</x:f>
        <x:v>0.3007112375533428</x:v>
      </x:c>
      <x:c r="F22" s="87" t="n">
        <x:f>$E$43+($F$43-$E$43)*J22</x:f>
        <x:v>0.1837837837837838</x:v>
      </x:c>
      <x:c r="G22" s="82" t="n">
        <x:f>SUM(C22:F22)</x:f>
        <x:v>0.9999999999999999</x:v>
      </x:c>
      <x:c r="H22" s="82" t="n">
        <x:f>SUM(E22:F22)</x:f>
        <x:v>0.4844950213371266</x:v>
      </x:c>
      <x:c r="I22" s="82" t="n">
        <x:f>SUM(D22:F22)</x:f>
        <x:v>0.9999999999999999</x:v>
      </x:c>
      <x:c r="J22" s="82" t="n">
        <x:f>MAX(0,A22-1)/(MAX(0,A22-1)+$B$39)</x:f>
        <x:v>0.668918918918919</x:v>
      </x:c>
      <x:c r="K22" s="83" t="n">
        <x:f>(1-F22)/(1-$E$43)</x:f>
        <x:v>0.8591749644381224</x:v>
      </x:c>
    </x:row>
    <x:row r="23" ht="23" customHeight="1">
      <x:c r="A23" s="75" t="n">
        <x:v>300</x:v>
      </x:c>
      <x:c r="B23" s="63" t="str">
        <x:v>정예 / Elite</x:v>
      </x:c>
      <x:c r="C23" s="82" t="n">
        <x:f>$B$43*K23</x:f>
        <x:v>0</x:v>
      </x:c>
      <x:c r="D23" s="82" t="n">
        <x:f>$C$43*K23</x:f>
        <x:v>0.491470054446461</x:v>
      </x:c>
      <x:c r="E23" s="82" t="n">
        <x:f>$D$43*K23</x:f>
        <x:v>0.2866908650937689</x:v>
      </x:c>
      <x:c r="F23" s="87" t="n">
        <x:f>$E$43+($F$43-$E$43)*J23</x:f>
        <x:v>0.22183908045977013</x:v>
      </x:c>
      <x:c r="G23" s="82" t="n">
        <x:f>SUM(C23:F23)</x:f>
        <x:v>1</x:v>
      </x:c>
      <x:c r="H23" s="82" t="n">
        <x:f>SUM(E23:F23)</x:f>
        <x:v>0.508529945553539</x:v>
      </x:c>
      <x:c r="I23" s="82" t="n">
        <x:f>SUM(D23:F23)</x:f>
        <x:v>1</x:v>
      </x:c>
      <x:c r="J23" s="82" t="n">
        <x:f>MAX(0,A23-1)/(MAX(0,A23-1)+$B$39)</x:f>
        <x:v>0.8591954022988506</x:v>
      </x:c>
      <x:c r="K23" s="83" t="n">
        <x:f>(1-F23)/(1-$E$43)</x:f>
        <x:v>0.8191167574107684</x:v>
      </x:c>
    </x:row>
    <x:row r="24" ht="23" customHeight="1">
      <x:c r="A24" s="75" t="n">
        <x:v>1000</x:v>
      </x:c>
      <x:c r="B24" s="63" t="str">
        <x:v>정예 / Elite</x:v>
      </x:c>
      <x:c r="C24" s="82" t="n">
        <x:f>$B$43*K24</x:f>
        <x:v>0</x:v>
      </x:c>
      <x:c r="D24" s="82" t="n">
        <x:f>$C$43*K24</x:f>
        <x:v>0.4795901968662113</x:v>
      </x:c>
      <x:c r="E24" s="82" t="n">
        <x:f>$D$43*K24</x:f>
        <x:v>0.27976094817195657</x:v>
      </x:c>
      <x:c r="F24" s="87" t="n">
        <x:f>$E$43+($F$43-$E$43)*J24</x:f>
        <x:v>0.24064885496183208</x:v>
      </x:c>
      <x:c r="G24" s="82" t="n">
        <x:f>SUM(C24:F24)</x:f>
        <x:v>0.9999999999999999</x:v>
      </x:c>
      <x:c r="H24" s="82" t="n">
        <x:f>SUM(E24:F24)</x:f>
        <x:v>0.5204098031337887</x:v>
      </x:c>
      <x:c r="I24" s="82" t="n">
        <x:f>SUM(D24:F24)</x:f>
        <x:v>0.9999999999999999</x:v>
      </x:c>
      <x:c r="J24" s="82" t="n">
        <x:f>MAX(0,A24-1)/(MAX(0,A24-1)+$B$39)</x:f>
        <x:v>0.9532442748091603</x:v>
      </x:c>
      <x:c r="K24" s="83" t="n">
        <x:f>(1-F24)/(1-$E$43)</x:f>
        <x:v>0.7993169947770189</x:v>
      </x:c>
    </x:row>
    <x:row r="25" ht="23" customHeight="1">
      <x:c r="A25" s="72" t="n">
        <x:v>1</x:v>
      </x:c>
      <x:c r="B25" s="61" t="str">
        <x:v>보스 / Boss</x:v>
      </x:c>
      <x:c r="C25" s="76" t="n">
        <x:f>$B$44*K25</x:f>
        <x:v>0</x:v>
      </x:c>
      <x:c r="D25" s="76" t="n">
        <x:f>$C$44*K25</x:f>
        <x:v>0</x:v>
      </x:c>
      <x:c r="E25" s="76" t="n">
        <x:f>$D$44*K25</x:f>
        <x:v>0.85</x:v>
      </x:c>
      <x:c r="F25" s="84" t="n">
        <x:f>$E$44+($F$44-$E$44)*J25</x:f>
        <x:v>0.15</x:v>
      </x:c>
      <x:c r="G25" s="76" t="n">
        <x:f>SUM(C25:F25)</x:f>
        <x:v>1</x:v>
      </x:c>
      <x:c r="H25" s="76" t="n">
        <x:f>SUM(E25:F25)</x:f>
        <x:v>1</x:v>
      </x:c>
      <x:c r="I25" s="76" t="n">
        <x:f>SUM(D25:F25)</x:f>
        <x:v>1</x:v>
      </x:c>
      <x:c r="J25" s="76" t="n">
        <x:f>MAX(0,A25-1)/(MAX(0,A25-1)+$B$39)</x:f>
        <x:v>0</x:v>
      </x:c>
      <x:c r="K25" s="77" t="n">
        <x:f>(1-F25)/(1-$E$44)</x:f>
        <x:v>1</x:v>
      </x:c>
    </x:row>
    <x:row r="26" ht="23" customHeight="1">
      <x:c r="A26" s="73" t="n">
        <x:v>10</x:v>
      </x:c>
      <x:c r="B26" s="50" t="str">
        <x:v>보스 / Boss</x:v>
      </x:c>
      <x:c r="C26" s="78" t="n">
        <x:f>$B$44*K26</x:f>
        <x:v>0</x:v>
      </x:c>
      <x:c r="D26" s="78" t="n">
        <x:f>$C$44*K26</x:f>
        <x:v>0</x:v>
      </x:c>
      <x:c r="E26" s="78" t="n">
        <x:f>$D$44*K26</x:f>
        <x:v>0.8034482758620689</x:v>
      </x:c>
      <x:c r="F26" s="85" t="n">
        <x:f>$E$44+($F$44-$E$44)*J26</x:f>
        <x:v>0.19655172413793104</x:v>
      </x:c>
      <x:c r="G26" s="78" t="n">
        <x:f>SUM(C26:F26)</x:f>
        <x:v>1</x:v>
      </x:c>
      <x:c r="H26" s="78" t="n">
        <x:f>SUM(E26:F26)</x:f>
        <x:v>1</x:v>
      </x:c>
      <x:c r="I26" s="78" t="n">
        <x:f>SUM(D26:F26)</x:f>
        <x:v>1</x:v>
      </x:c>
      <x:c r="J26" s="78" t="n">
        <x:f>MAX(0,A26-1)/(MAX(0,A26-1)+$B$39)</x:f>
        <x:v>0.15517241379310345</x:v>
      </x:c>
      <x:c r="K26" s="79" t="n">
        <x:f>(1-F26)/(1-$E$44)</x:f>
        <x:v>0.945233265720081</x:v>
      </x:c>
    </x:row>
    <x:row r="27" ht="23" customHeight="1">
      <x:c r="A27" s="73" t="n">
        <x:v>20</x:v>
      </x:c>
      <x:c r="B27" s="50" t="str">
        <x:v>보스 / Boss</x:v>
      </x:c>
      <x:c r="C27" s="78" t="n">
        <x:f>$B$44*K27</x:f>
        <x:v>0</x:v>
      </x:c>
      <x:c r="D27" s="78" t="n">
        <x:f>$C$44*K27</x:f>
        <x:v>0</x:v>
      </x:c>
      <x:c r="E27" s="78" t="n">
        <x:f>$D$44*K27</x:f>
        <x:v>0.7661764705882352</x:v>
      </x:c>
      <x:c r="F27" s="85" t="n">
        <x:f>$E$44+($F$44-$E$44)*J27</x:f>
        <x:v>0.2338235294117647</x:v>
      </x:c>
      <x:c r="G27" s="78" t="n">
        <x:f>SUM(C27:F27)</x:f>
        <x:v>1</x:v>
      </x:c>
      <x:c r="H27" s="78" t="n">
        <x:f>SUM(E27:F27)</x:f>
        <x:v>1</x:v>
      </x:c>
      <x:c r="I27" s="78" t="n">
        <x:f>SUM(D27:F27)</x:f>
        <x:v>1</x:v>
      </x:c>
      <x:c r="J27" s="78" t="n">
        <x:f>MAX(0,A27-1)/(MAX(0,A27-1)+$B$39)</x:f>
        <x:v>0.27941176470588236</x:v>
      </x:c>
      <x:c r="K27" s="79" t="n">
        <x:f>(1-F27)/(1-$E$44)</x:f>
        <x:v>0.9013840830449826</x:v>
      </x:c>
    </x:row>
    <x:row r="28" ht="23" customHeight="1">
      <x:c r="A28" s="73" t="n">
        <x:v>30</x:v>
      </x:c>
      <x:c r="B28" s="50" t="str">
        <x:v>보스 / Boss</x:v>
      </x:c>
      <x:c r="C28" s="78" t="n">
        <x:f>$B$44*K28</x:f>
        <x:v>0</x:v>
      </x:c>
      <x:c r="D28" s="78" t="n">
        <x:f>$C$44*K28</x:f>
        <x:v>0</x:v>
      </x:c>
      <x:c r="E28" s="78" t="n">
        <x:f>$D$44*K28</x:f>
        <x:v>0.7384615384615385</x:v>
      </x:c>
      <x:c r="F28" s="85" t="n">
        <x:f>$E$44+($F$44-$E$44)*J28</x:f>
        <x:v>0.26153846153846155</x:v>
      </x:c>
      <x:c r="G28" s="78" t="n">
        <x:f>SUM(C28:F28)</x:f>
        <x:v>1</x:v>
      </x:c>
      <x:c r="H28" s="78" t="n">
        <x:f>SUM(E28:F28)</x:f>
        <x:v>1</x:v>
      </x:c>
      <x:c r="I28" s="78" t="n">
        <x:f>SUM(D28:F28)</x:f>
        <x:v>1</x:v>
      </x:c>
      <x:c r="J28" s="78" t="n">
        <x:f>MAX(0,A28-1)/(MAX(0,A28-1)+$B$39)</x:f>
        <x:v>0.3717948717948718</x:v>
      </x:c>
      <x:c r="K28" s="79" t="n">
        <x:f>(1-F28)/(1-$E$44)</x:f>
        <x:v>0.8687782805429864</x:v>
      </x:c>
    </x:row>
    <x:row r="29" ht="23" customHeight="1">
      <x:c r="A29" s="73" t="n">
        <x:v>50</x:v>
      </x:c>
      <x:c r="B29" s="50" t="str">
        <x:v>보스 / Boss</x:v>
      </x:c>
      <x:c r="C29" s="78" t="n">
        <x:f>$B$44*K29</x:f>
        <x:v>0</x:v>
      </x:c>
      <x:c r="D29" s="78" t="n">
        <x:f>$C$44*K29</x:f>
        <x:v>0</x:v>
      </x:c>
      <x:c r="E29" s="78" t="n">
        <x:f>$D$44*K29</x:f>
        <x:v>0.7</x:v>
      </x:c>
      <x:c r="F29" s="85" t="n">
        <x:f>$E$44+($F$44-$E$44)*J29</x:f>
        <x:v>0.30000000000000004</x:v>
      </x:c>
      <x:c r="G29" s="78" t="n">
        <x:f>SUM(C29:F29)</x:f>
        <x:v>1</x:v>
      </x:c>
      <x:c r="H29" s="78" t="n">
        <x:f>SUM(E29:F29)</x:f>
        <x:v>1</x:v>
      </x:c>
      <x:c r="I29" s="78" t="n">
        <x:f>SUM(D29:F29)</x:f>
        <x:v>1</x:v>
      </x:c>
      <x:c r="J29" s="78" t="n">
        <x:f>MAX(0,A29-1)/(MAX(0,A29-1)+$B$39)</x:f>
        <x:v>0.5</x:v>
      </x:c>
      <x:c r="K29" s="79" t="n">
        <x:f>(1-F29)/(1-$E$44)</x:f>
        <x:v>0.8235294117647058</x:v>
      </x:c>
    </x:row>
    <x:row r="30" ht="23" customHeight="1">
      <x:c r="A30" s="73" t="n">
        <x:v>100</x:v>
      </x:c>
      <x:c r="B30" s="50" t="str">
        <x:v>보스 / Boss</x:v>
      </x:c>
      <x:c r="C30" s="78" t="n">
        <x:f>$B$44*K30</x:f>
        <x:v>0</x:v>
      </x:c>
      <x:c r="D30" s="78" t="n">
        <x:f>$C$44*K30</x:f>
        <x:v>0</x:v>
      </x:c>
      <x:c r="E30" s="78" t="n">
        <x:f>$D$44*K30</x:f>
        <x:v>0.6493243243243243</x:v>
      </x:c>
      <x:c r="F30" s="85" t="n">
        <x:f>$E$44+($F$44-$E$44)*J30</x:f>
        <x:v>0.3506756756756757</x:v>
      </x:c>
      <x:c r="G30" s="78" t="n">
        <x:f>SUM(C30:F30)</x:f>
        <x:v>1</x:v>
      </x:c>
      <x:c r="H30" s="78" t="n">
        <x:f>SUM(E30:F30)</x:f>
        <x:v>1</x:v>
      </x:c>
      <x:c r="I30" s="78" t="n">
        <x:f>SUM(D30:F30)</x:f>
        <x:v>1</x:v>
      </x:c>
      <x:c r="J30" s="78" t="n">
        <x:f>MAX(0,A30-1)/(MAX(0,A30-1)+$B$39)</x:f>
        <x:v>0.668918918918919</x:v>
      </x:c>
      <x:c r="K30" s="79" t="n">
        <x:f>(1-F30)/(1-$E$44)</x:f>
        <x:v>0.7639109697933227</x:v>
      </x:c>
    </x:row>
    <x:row r="31" ht="23" customHeight="1">
      <x:c r="A31" s="73" t="n">
        <x:v>300</x:v>
      </x:c>
      <x:c r="B31" s="50" t="str">
        <x:v>보스 / Boss</x:v>
      </x:c>
      <x:c r="C31" s="78" t="n">
        <x:f>$B$44*K31</x:f>
        <x:v>0</x:v>
      </x:c>
      <x:c r="D31" s="78" t="n">
        <x:f>$C$44*K31</x:f>
        <x:v>0</x:v>
      </x:c>
      <x:c r="E31" s="78" t="n">
        <x:f>$D$44*K31</x:f>
        <x:v>0.5922413793103448</x:v>
      </x:c>
      <x:c r="F31" s="85" t="n">
        <x:f>$E$44+($F$44-$E$44)*J31</x:f>
        <x:v>0.4077586206896552</x:v>
      </x:c>
      <x:c r="G31" s="78" t="n">
        <x:f>SUM(C31:F31)</x:f>
        <x:v>1</x:v>
      </x:c>
      <x:c r="H31" s="78" t="n">
        <x:f>SUM(E31:F31)</x:f>
        <x:v>1</x:v>
      </x:c>
      <x:c r="I31" s="78" t="n">
        <x:f>SUM(D31:F31)</x:f>
        <x:v>1</x:v>
      </x:c>
      <x:c r="J31" s="78" t="n">
        <x:f>MAX(0,A31-1)/(MAX(0,A31-1)+$B$39)</x:f>
        <x:v>0.8591954022988506</x:v>
      </x:c>
      <x:c r="K31" s="79" t="n">
        <x:f>(1-F31)/(1-$E$44)</x:f>
        <x:v>0.6967545638945233</x:v>
      </x:c>
    </x:row>
    <x:row r="32" ht="23" customHeight="1">
      <x:c r="A32" s="73" t="n">
        <x:v>1000</x:v>
      </x:c>
      <x:c r="B32" s="50" t="str">
        <x:v>보스 / Boss</x:v>
      </x:c>
      <x:c r="C32" s="78" t="n">
        <x:f>$B$44*K32</x:f>
        <x:v>0</x:v>
      </x:c>
      <x:c r="D32" s="78" t="n">
        <x:f>$C$44*K32</x:f>
        <x:v>0</x:v>
      </x:c>
      <x:c r="E32" s="78" t="n">
        <x:f>$D$44*K32</x:f>
        <x:v>0.5640267175572519</x:v>
      </x:c>
      <x:c r="F32" s="85" t="n">
        <x:f>$E$44+($F$44-$E$44)*J32</x:f>
        <x:v>0.43597328244274813</x:v>
      </x:c>
      <x:c r="G32" s="78" t="n">
        <x:f>SUM(C32:F32)</x:f>
        <x:v>1</x:v>
      </x:c>
      <x:c r="H32" s="78" t="n">
        <x:f>SUM(E32:F32)</x:f>
        <x:v>1</x:v>
      </x:c>
      <x:c r="I32" s="78" t="n">
        <x:f>SUM(D32:F32)</x:f>
        <x:v>1</x:v>
      </x:c>
      <x:c r="J32" s="78" t="n">
        <x:f>MAX(0,A32-1)/(MAX(0,A32-1)+$B$39)</x:f>
        <x:v>0.9532442748091603</x:v>
      </x:c>
      <x:c r="K32" s="79" t="n">
        <x:f>(1-F32)/(1-$E$44)</x:f>
        <x:v>0.6635608441850022</x:v>
      </x:c>
    </x:row>
    <x:row r="33" ht="23" customHeight="1">
      <x:c r="A33" s="50"/>
      <x:c r="B33" s="50"/>
      <x:c r="C33" s="50"/>
      <x:c r="D33" s="50"/>
      <x:c r="E33" s="50"/>
      <x:c r="F33" s="50"/>
      <x:c r="G33" s="50"/>
      <x:c r="H33" s="50"/>
      <x:c r="I33" s="50"/>
      <x:c r="J33" s="50"/>
      <x:c r="K33" s="50"/>
    </x:row>
    <x:row r="34" ht="23" customHeight="1">
      <x:c r="A34" s="50" t="str">
        <x:v>등급 확률은 장비가 나왔을 때 1회 추첨에 적용합니다. 일반 몬스터의 장비 드롭 자체 확률은 2%입니다.</x:v>
      </x:c>
      <x:c r="B34" s="50"/>
      <x:c r="C34" s="50"/>
      <x:c r="D34" s="50"/>
      <x:c r="E34" s="50"/>
      <x:c r="F34" s="50"/>
      <x:c r="G34" s="50"/>
      <x:c r="H34" s="50"/>
      <x:c r="I34" s="50"/>
      <x:c r="J34" s="50"/>
      <x:c r="K34" s="50"/>
    </x:row>
    <x:row r="35" ht="23" customHeight="1">
      <x:c r="A35" s="50" t="str">
        <x:v>Rarity rates are conditional on an equipment roll. A normal monster has a separate 2% equipment drop chance.</x:v>
      </x:c>
      <x:c r="B35" s="50"/>
      <x:c r="C35" s="50"/>
      <x:c r="D35" s="50"/>
      <x:c r="E35" s="50"/>
      <x:c r="F35" s="50"/>
      <x:c r="G35" s="50"/>
      <x:c r="H35" s="50"/>
      <x:c r="I35" s="50"/>
      <x:c r="J35" s="50"/>
      <x:c r="K35" s="50"/>
    </x:row>
    <x:row r="36" ht="23" customHeight="1">
      <x:c r="A36" s="50" t="str">
        <x:v>보스는 위 확률로 3회 독립 추첨합니다. 전설 1개 이상 확률은 1-(1-p)^3이며, 3×p가 아닙니다.</x:v>
      </x:c>
      <x:c r="B36" s="50"/>
      <x:c r="C36" s="50"/>
      <x:c r="D36" s="50"/>
      <x:c r="E36" s="50"/>
      <x:c r="F36" s="50"/>
      <x:c r="G36" s="50"/>
      <x:c r="H36" s="50"/>
      <x:c r="I36" s="50"/>
      <x:c r="J36" s="50"/>
      <x:c r="K36" s="50"/>
    </x:row>
    <x:row r="37" ht="23" customHeight="1">
      <x:c r="A37" s="50"/>
      <x:c r="B37" s="50"/>
      <x:c r="C37" s="50"/>
      <x:c r="D37" s="50"/>
      <x:c r="E37" s="50"/>
      <x:c r="F37" s="50"/>
      <x:c r="G37" s="50"/>
      <x:c r="H37" s="50"/>
      <x:c r="I37" s="50"/>
      <x:c r="J37" s="50"/>
      <x:c r="K37" s="50"/>
    </x:row>
    <x:row r="38" ht="23" customHeight="1">
      <x:c r="A38" s="51" t="str">
        <x:v>조절 파라미터 / Editable parameters</x:v>
      </x:c>
      <x:c r="B38" s="50"/>
      <x:c r="C38" s="50"/>
      <x:c r="D38" s="50"/>
      <x:c r="E38" s="50"/>
      <x:c r="F38" s="50"/>
      <x:c r="G38" s="50"/>
      <x:c r="H38" s="50"/>
      <x:c r="I38" s="50"/>
      <x:c r="J38" s="50"/>
      <x:c r="K38" s="50"/>
    </x:row>
    <x:row r="39" ht="23" customHeight="1">
      <x:c r="A39" s="50" t="str">
        <x:v>상승구간 K</x:v>
      </x:c>
      <x:c r="B39" s="89" t="n">
        <x:v>49</x:v>
      </x:c>
      <x:c r="C39" s="50" t="str">
        <x:v>50단계에서 전설 상승분의 절반에 도달합니다. / Half of the lift at tier 50.</x:v>
      </x:c>
      <x:c r="D39" s="50"/>
      <x:c r="E39" s="50"/>
      <x:c r="F39" s="50"/>
      <x:c r="G39" s="50"/>
      <x:c r="H39" s="50"/>
      <x:c r="I39" s="50"/>
      <x:c r="J39" s="50"/>
      <x:c r="K39" s="50"/>
    </x:row>
    <x:row r="40" ht="23" customHeight="1">
      <x:c r="A40" s="50"/>
      <x:c r="B40" s="50"/>
      <x:c r="C40" s="50"/>
      <x:c r="D40" s="50"/>
      <x:c r="E40" s="50"/>
      <x:c r="F40" s="50"/>
      <x:c r="G40" s="50"/>
      <x:c r="H40" s="50"/>
      <x:c r="I40" s="50"/>
      <x:c r="J40" s="50"/>
      <x:c r="K40" s="50"/>
    </x:row>
    <x:row r="41" ht="45" customHeight="1">
      <x:c r="A41" s="58" t="str">
        <x:v>획득 경로
Source</x:v>
      </x:c>
      <x:c r="B41" s="59" t="str">
        <x:v>일반 기준
Common</x:v>
      </x:c>
      <x:c r="C41" s="59" t="str">
        <x:v>마법 기준
Magic</x:v>
      </x:c>
      <x:c r="D41" s="59" t="str">
        <x:v>레어 기준
Rare</x:v>
      </x:c>
      <x:c r="E41" s="59" t="str">
        <x:v>전설 기준 p0
Legendary</x:v>
      </x:c>
      <x:c r="F41" s="59" t="str">
        <x:v>전설 상한
Cap</x:v>
      </x:c>
      <x:c r="G41" s="59" t="str">
        <x:v>장비 드롭
Drop chance</x:v>
      </x:c>
      <x:c r="H41" s="59" t="str">
        <x:v>추첨 횟수
Rolls</x:v>
      </x:c>
      <x:c r="I41" s="60" t="str">
        <x:v>입력 검토
Input check</x:v>
      </x:c>
      <x:c r="J41" s="50"/>
      <x:c r="K41" s="50"/>
    </x:row>
    <x:row r="42" ht="34" customHeight="1">
      <x:c r="A42" s="92" t="str">
        <x:v>일반 / Normal</x:v>
      </x:c>
      <x:c r="B42" s="90" t="n">
        <x:v>0.55</x:v>
      </x:c>
      <x:c r="C42" s="90" t="n">
        <x:v>0.25</x:v>
      </x:c>
      <x:c r="D42" s="90" t="n">
        <x:v>0.19</x:v>
      </x:c>
      <x:c r="E42" s="90" t="n">
        <x:v>0.01</x:v>
      </x:c>
      <x:c r="F42" s="90" t="n">
        <x:v>0.1</x:v>
      </x:c>
      <x:c r="G42" s="65" t="n">
        <x:v>0.02</x:v>
      </x:c>
      <x:c r="H42" s="91" t="n">
        <x:v>1</x:v>
      </x:c>
      <x:c r="I42" s="50" t="str">
        <x:f>IF(AND(COUNT(B42:F42)=5,ABS(SUM(B42:E42)-1)&lt;0.0000000001,MIN(B42:F42)&gt;=0,MAX(B42:E42)&lt;=1,F42&lt;1,F42&gt;=E42),"정상 / Valid","확인 / Check")</x:f>
        <x:v>정상 / Valid</x:v>
      </x:c>
      <x:c r="J42" s="50"/>
      <x:c r="K42" s="50"/>
    </x:row>
    <x:row r="43" ht="34" customHeight="1">
      <x:c r="A43" s="92" t="str">
        <x:v>정예 / Elite</x:v>
      </x:c>
      <x:c r="B43" s="90" t="n">
        <x:v>0</x:v>
      </x:c>
      <x:c r="C43" s="90" t="n">
        <x:v>0.6</x:v>
      </x:c>
      <x:c r="D43" s="90" t="n">
        <x:v>0.35</x:v>
      </x:c>
      <x:c r="E43" s="90" t="n">
        <x:v>0.05</x:v>
      </x:c>
      <x:c r="F43" s="90" t="n">
        <x:v>0.25</x:v>
      </x:c>
      <x:c r="G43" s="65" t="n">
        <x:v>1</x:v>
      </x:c>
      <x:c r="H43" s="91" t="n">
        <x:v>1</x:v>
      </x:c>
      <x:c r="I43" s="50" t="str">
        <x:f>IF(AND(COUNT(B43:F43)=5,ABS(SUM(B43:E43)-1)&lt;0.0000000001,MIN(B43:F43)&gt;=0,MAX(B43:E43)&lt;=1,F43&lt;1,F43&gt;=E43),"정상 / Valid","확인 / Check")</x:f>
        <x:v>정상 / Valid</x:v>
      </x:c>
      <x:c r="J43" s="50"/>
      <x:c r="K43" s="50"/>
    </x:row>
    <x:row r="44" ht="34" customHeight="1">
      <x:c r="A44" s="92" t="str">
        <x:v>보스 / Boss</x:v>
      </x:c>
      <x:c r="B44" s="90" t="n">
        <x:v>0</x:v>
      </x:c>
      <x:c r="C44" s="90" t="n">
        <x:v>0</x:v>
      </x:c>
      <x:c r="D44" s="90" t="n">
        <x:v>0.85</x:v>
      </x:c>
      <x:c r="E44" s="90" t="n">
        <x:v>0.15</x:v>
      </x:c>
      <x:c r="F44" s="90" t="n">
        <x:v>0.45</x:v>
      </x:c>
      <x:c r="G44" s="65" t="n">
        <x:v>1</x:v>
      </x:c>
      <x:c r="H44" s="91" t="n">
        <x:v>3</x:v>
      </x:c>
      <x:c r="I44" s="50" t="str">
        <x:f>IF(AND(COUNT(B44:F44)=5,ABS(SUM(B44:E44)-1)&lt;0.0000000001,MIN(B44:F44)&gt;=0,MAX(B44:E44)&lt;=1,F44&lt;1,F44&gt;=E44),"정상 / Valid","확인 / Check")</x:f>
        <x:v>정상 / Valid</x:v>
      </x:c>
      <x:c r="J44" s="50"/>
      <x:c r="K44" s="50"/>
    </x:row>
    <x:row r="45" ht="23" customHeight="1">
      <x:c r="A45" s="50"/>
      <x:c r="B45" s="50"/>
      <x:c r="C45" s="50"/>
      <x:c r="D45" s="50"/>
      <x:c r="E45" s="50"/>
      <x:c r="F45" s="50"/>
      <x:c r="G45" s="50"/>
      <x:c r="H45" s="50"/>
      <x:c r="I45" s="50"/>
      <x:c r="J45" s="50"/>
      <x:c r="K45" s="50"/>
    </x:row>
    <x:row r="46" ht="23" customHeight="1">
      <x:c r="A46" s="50" t="str">
        <x:v>공통 검토 / Shared check</x:v>
      </x:c>
      <x:c r="B46" s="50"/>
      <x:c r="C46" s="50"/>
      <x:c r="D46" s="50" t="str">
        <x:f>IF(AND(ISNUMBER(B39),B39&gt;0,E42&lt;=E43,E43&lt;=E44,F42&lt;=F43,F43&lt;=F44,B43=0,B44=0,C44=0),"정상 / Valid","확인 / Check")</x:f>
        <x:v>정상 / Valid</x:v>
      </x:c>
      <x:c r="E46" s="50"/>
      <x:c r="F46" s="50"/>
      <x:c r="G46" s="50"/>
      <x:c r="H46" s="50"/>
      <x:c r="I46" s="50"/>
      <x:c r="J46" s="50"/>
      <x:c r="K46" s="50"/>
    </x:row>
    <x:row r="47" ht="23" customHeight="1">
      <x:c r="A47" s="50"/>
      <x:c r="B47" s="50"/>
      <x:c r="C47" s="50"/>
      <x:c r="D47" s="50"/>
      <x:c r="E47" s="50"/>
      <x:c r="F47" s="50"/>
      <x:c r="G47" s="50"/>
      <x:c r="H47" s="50"/>
      <x:c r="I47" s="50"/>
      <x:c r="J47" s="50"/>
      <x:c r="K47" s="50"/>
    </x:row>
    <x:row r="48" ht="23" customHeight="1">
      <x:c r="A48" s="50" t="str">
        <x:v>노란 셀은 조절값입니다. 기준 확률 합계 100%, 0≤p0≤상한&lt;100%, K&gt;0을 유지하세요.</x:v>
      </x:c>
      <x:c r="B48" s="50"/>
      <x:c r="C48" s="50"/>
      <x:c r="D48" s="50"/>
      <x:c r="E48" s="50"/>
      <x:c r="F48" s="50"/>
      <x:c r="G48" s="50"/>
      <x:c r="H48" s="50"/>
      <x:c r="I48" s="50"/>
      <x:c r="J48" s="50"/>
      <x:c r="K48" s="50"/>
    </x:row>
    <x:row r="49" ht="23" customHeight="1">
      <x:c r="A49" s="50" t="str">
        <x:v>Yellow cells are editable. Keep baseline sum 100%, 0≤p0≤cap&lt;100%, and K&gt;0.</x:v>
      </x:c>
      <x:c r="B49" s="50"/>
      <x:c r="C49" s="50"/>
      <x:c r="D49" s="50"/>
      <x:c r="E49" s="50"/>
      <x:c r="F49" s="50"/>
      <x:c r="G49" s="50"/>
      <x:c r="H49" s="50"/>
      <x:c r="I49" s="50"/>
      <x:c r="J49" s="50"/>
      <x:c r="K49" s="50"/>
    </x:row>
    <x:row r="50" ht="23" customHeight="1">
      <x:c r="A50" s="50" t="str">
        <x:v>t=max(0,R-1), g=t/(t+K), p=p0+(상한-p0)×g; 비전설 확률=해당 기준 확률×(1-p)/(1-p0).</x:v>
      </x:c>
      <x:c r="B50" s="50"/>
      <x:c r="C50" s="50"/>
      <x:c r="D50" s="50"/>
      <x:c r="E50" s="50"/>
      <x:c r="F50" s="50"/>
      <x:c r="G50" s="50"/>
      <x:c r="H50" s="50"/>
      <x:c r="I50" s="50"/>
      <x:c r="J50" s="50"/>
      <x:c r="K50" s="50"/>
    </x:row>
    <x:row r="51" ht="23" customHeight="1">
      <x:c r="A51" s="50" t="str">
        <x:v>Each nonlegendary probability keeps its original share of the nonlegendary pool.</x:v>
      </x:c>
      <x:c r="B51" s="50"/>
      <x:c r="C51" s="50"/>
      <x:c r="D51" s="50"/>
      <x:c r="E51" s="50"/>
      <x:c r="F51" s="50"/>
      <x:c r="G51" s="50"/>
      <x:c r="H51" s="50"/>
      <x:c r="I51" s="50"/>
      <x:c r="J51" s="50"/>
      <x:c r="K51" s="50"/>
    </x:row>
    <x:row r="52" ht="23" customHeight="1">
      <x:c r="A52" s="50" t="str">
        <x:v>전설 기준과 상한은 일반≤정예≤보스로 유지합니다. 정예 일반, 보스 일반·마법은 0을 유지합니다.</x:v>
      </x:c>
      <x:c r="B52" s="50"/>
      <x:c r="C52" s="50"/>
      <x:c r="D52" s="50"/>
      <x:c r="E52" s="50"/>
      <x:c r="F52" s="50"/>
      <x:c r="G52" s="50"/>
      <x:c r="H52" s="50"/>
      <x:c r="I52" s="50"/>
      <x:c r="J52" s="50"/>
      <x:c r="K52" s="50"/>
    </x:row>
    <x:row r="53" ht="23" customHeight="1">
      <x:c r="A53" s="50" t="str">
        <x:v>Keep ordered baseline/cap values and the original zero-probability rarities.</x:v>
      </x:c>
      <x:c r="B53" s="50"/>
      <x:c r="C53" s="50"/>
      <x:c r="D53" s="50"/>
      <x:c r="E53" s="50"/>
      <x:c r="F53" s="50"/>
      <x:c r="G53" s="50"/>
      <x:c r="H53" s="50"/>
      <x:c r="I53" s="50"/>
      <x:c r="J53" s="50"/>
      <x:c r="K53" s="50"/>
    </x:row>
    <x:row r="54" ht="23" customHeight="1">
      <x:c r="A54" s="50" t="str">
        <x:v>이 표는 코드를 자동으로 수정하지 않습니다. 변경 시 RiftRarityBalance.cs와 함께 검토하고 검증합니다.</x:v>
      </x:c>
      <x:c r="B54" s="50"/>
      <x:c r="C54" s="50"/>
      <x:c r="D54" s="50"/>
      <x:c r="E54" s="50"/>
      <x:c r="F54" s="50"/>
      <x:c r="G54" s="50"/>
      <x:c r="H54" s="50"/>
      <x:c r="I54" s="50"/>
      <x:c r="J54" s="50"/>
      <x:c r="K54" s="50"/>
    </x:row>
    <x:row r="55" ht="23" customHeight="1">
      <x:c r="A55" s="50" t="str">
        <x:v>Spreadsheet edits do not update game data automatically. Review code parameters together.</x:v>
      </x:c>
      <x:c r="B55" s="50"/>
      <x:c r="C55" s="50"/>
      <x:c r="D55" s="50"/>
      <x:c r="E55" s="50"/>
      <x:c r="F55" s="50"/>
      <x:c r="G55" s="50"/>
      <x:c r="H55" s="50"/>
      <x:c r="I55" s="50"/>
      <x:c r="J55" s="50"/>
      <x:c r="K55" s="50"/>
    </x:row>
    <x:row r="56" ht="23" customHeight="1">
      <x:c r="A56" s="50"/>
      <x:c r="B56" s="50"/>
      <x:c r="C56" s="50"/>
      <x:c r="D56" s="50"/>
      <x:c r="E56" s="50"/>
      <x:c r="F56" s="50"/>
      <x:c r="G56" s="50"/>
      <x:c r="H56" s="50"/>
      <x:c r="I56" s="50"/>
      <x:c r="J56" s="50"/>
      <x:c r="K56" s="50"/>
    </x:row>
  </x:sheetData>
  <x:conditionalFormatting sqref="I42:I44">
    <x:cfRule type="containsText" dxfId="0" priority="1" operator="containsText" text="Check"/>
  </x:conditionalFormatting>
  <x:conditionalFormatting sqref="D46:D46">
    <x:cfRule type="containsText" dxfId="1" priority="2" operator="containsText" text="Check"/>
  </x:conditionalFormatting>
  <x:pageMargins left="0.7" right="0.7" top="0.75" bottom="0.75" header="0.3" footer="0.3"/>
</x:worksheet>
</file>

<file path=xl/worksheets/sheet26.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9" hidden="0" customWidth="1"/>
    <x:col min="2" max="2" width="24" hidden="0" customWidth="1"/>
    <x:col min="3" max="3" width="15" hidden="0" customWidth="1"/>
    <x:col min="4" max="4" width="13" hidden="0" customWidth="1"/>
    <x:col min="5" max="5" width="35" hidden="0" customWidth="1"/>
    <x:col min="6" max="6" width="14" hidden="0" customWidth="1"/>
    <x:col min="7" max="7" width="62" hidden="0" customWidth="1"/>
    <x:col min="8" max="8" width="20" hidden="0" customWidth="1"/>
    <x:col min="9" max="9" width="43" hidden="0" customWidth="1"/>
  </x:cols>
  <x:sheetData>
    <x:row r="1" ht="26" customHeight="1">
      <x:c r="A1" s="96" t="str">
        <x:v>콘텐츠 공개·해금 v0.1</x:v>
      </x:c>
      <x:c r="B1" s="96"/>
      <x:c r="C1" s="96"/>
      <x:c r="D1" s="96"/>
      <x:c r="E1" s="96"/>
      <x:c r="F1" s="96"/>
      <x:c r="G1" s="96"/>
      <x:c r="H1" s="96"/>
      <x:c r="I1" s="96"/>
    </x:row>
    <x:row r="2" ht="50" customHeight="1">
      <x:c r="A2" s="96" t="str">
        <x:v>테스트 초안 / Test draft</x:v>
      </x:c>
      <x:c r="B2" s="96"/>
      <x:c r="C2" s="96"/>
      <x:c r="D2" s="96"/>
      <x:c r="E2" s="96"/>
      <x:c r="F2" s="96"/>
      <x:c r="G2" s="96" t="str">
        <x:v>출처: ContentUnlocks.json · 2026-09-12 사용자 명세. 코드 공통 원본의 내보내기이며 엑셀 변경은 자동으로 게임에 반영되지 않습니다.</x:v>
      </x:c>
      <x:c r="H2" s="96"/>
      <x:c r="I2" s="96"/>
    </x:row>
    <x:row r="3" ht="65" customHeight="1">
      <x:c r="A3" s="96"/>
      <x:c r="B3" s="96"/>
      <x:c r="C3" s="96"/>
      <x:c r="D3" s="96"/>
      <x:c r="E3" s="96"/>
      <x:c r="F3" s="96"/>
      <x:c r="G3" s="96"/>
      <x:c r="H3" s="96"/>
      <x:c r="I3" s="96"/>
    </x:row>
    <x:row r="4" ht="42" customHeight="1">
      <x:c r="A4" s="98" t="str">
        <x:v>기능 ID</x:v>
      </x:c>
      <x:c r="B4" s="98" t="str">
        <x:v>기능</x:v>
      </x:c>
      <x:c r="C4" s="98" t="str">
        <x:v>적용 범위</x:v>
      </x:c>
      <x:c r="D4" s="98" t="str">
        <x:v>실클리어 A ≥</x:v>
      </x:c>
      <x:c r="E4" s="98" t="str">
        <x:v>조기 조건</x:v>
      </x:c>
      <x:c r="F4" s="98" t="str">
        <x:v>영구 유지</x:v>
      </x:c>
      <x:c r="G4" s="98" t="str">
        <x:v>안내 내용</x:v>
      </x:c>
      <x:c r="H4" s="98" t="str">
        <x:v>구현 상태</x:v>
      </x:c>
      <x:c r="I4" s="98" t="str">
        <x:v>조건 정의 / 예외</x:v>
      </x:c>
    </x:row>
    <x:row r="5" ht="65" customHeight="1">
      <x:c r="A5" s="96" t="str">
        <x:v>UL01_TRAIN</x:v>
      </x:c>
      <x:c r="B5" s="96" t="str">
        <x:v>훈련장</x:v>
      </x:c>
      <x:c r="C5" s="96" t="str">
        <x:v>계정</x:v>
      </x:c>
      <x:c r="D5" s="96" t="n">
        <x:v>0</x:v>
      </x:c>
      <x:c r="E5" s="96" t="str">
        <x:v>첫 시도 종료 (실패 포함)</x:v>
      </x:c>
      <x:c r="F5" s="96" t="str">
        <x:v>예</x:v>
      </x:c>
      <x:c r="G5" s="96" t="str">
        <x:v>실패 로그와 설정을 확인하고 같은 조건으로 A/B 비교를 시도하세요.</x:v>
      </x:c>
      <x:c r="H5" s="96" t="str">
        <x:v>구현</x:v>
      </x:c>
      <x:c r="I5" s="96" t="str">
        <x:v>보상 확정 이후 판정. 안내 완료 상태와 별도 저장.</x:v>
      </x:c>
    </x:row>
    <x:row r="6" ht="65" customHeight="1">
      <x:c r="A6" s="96" t="str">
        <x:v>UL02_ENHANCE</x:v>
      </x:c>
      <x:c r="B6" s="96" t="str">
        <x:v>장비 강화</x:v>
      </x:c>
      <x:c r="C6" s="96" t="str">
        <x:v>계정</x:v>
      </x:c>
      <x:c r="D6" s="96" t="n">
        <x:v>1</x:v>
      </x:c>
      <x:c r="E6" s="96" t="str">
        <x:v>없음</x:v>
      </x:c>
      <x:c r="F6" s="96" t="str">
        <x:v>예</x:v>
      </x:c>
      <x:c r="G6" s="96" t="str">
        <x:v>강화에는 골드와 재료가 필요합니다. 분해와 장비 보호는 처음부터 이용할 수 있습니다.</x:v>
      </x:c>
      <x:c r="H6" s="96" t="str">
        <x:v>구현</x:v>
      </x:c>
      <x:c r="I6" s="96" t="str">
        <x:v>보상 확정 이후 판정. 안내 완료 상태와 별도 저장.</x:v>
      </x:c>
    </x:row>
    <x:row r="7" ht="65" customHeight="1">
      <x:c r="A7" s="96" t="str">
        <x:v>UL03_OFFLINE</x:v>
      </x:c>
      <x:c r="B7" s="96" t="str">
        <x:v>오프라인 보상</x:v>
      </x:c>
      <x:c r="C7" s="96" t="str">
        <x:v>계정</x:v>
      </x:c>
      <x:c r="D7" s="96" t="n">
        <x:v>1</x:v>
      </x:c>
      <x:c r="E7" s="96" t="str">
        <x:v>없음</x:v>
      </x:c>
      <x:c r="F7" s="96" t="str">
        <x:v>예</x:v>
      </x:c>
      <x:c r="G7" s="96" t="str">
        <x:v>활성화 이후의 미실행 시간만 최대 12시간 정산합니다.</x:v>
      </x:c>
      <x:c r="H7" s="96" t="str">
        <x:v>구현</x:v>
      </x:c>
      <x:c r="I7" s="96" t="str">
        <x:v>보상 확정 이후 판정. 안내 완료 상태와 별도 저장.</x:v>
      </x:c>
    </x:row>
    <x:row r="8" ht="65" customHeight="1">
      <x:c r="A8" s="96" t="str">
        <x:v>UL04_RARE_CRAFT</x:v>
      </x:c>
      <x:c r="B8" s="96" t="str">
        <x:v>부위 선택 기본 제작</x:v>
      </x:c>
      <x:c r="C8" s="96" t="str">
        <x:v>계정</x:v>
      </x:c>
      <x:c r="D8" s="96" t="n">
        <x:v>3</x:v>
      </x:c>
      <x:c r="E8" s="96" t="str">
        <x:v>없음</x:v>
      </x:c>
      <x:c r="F8" s="96" t="str">
        <x:v>예</x:v>
      </x:c>
      <x:c r="G8" s="96" t="str">
        <x:v>희귀 장비를 부위별로 제작합니다. 훈련장과 프리셋으로 변경 전후를 비교하세요.</x:v>
      </x:c>
      <x:c r="H8" s="96" t="str">
        <x:v>구현</x:v>
      </x:c>
      <x:c r="I8" s="96" t="str">
        <x:v>보상 확정 이후 판정. 안내 완료 상태와 별도 저장.</x:v>
      </x:c>
    </x:row>
    <x:row r="9" ht="65" customHeight="1">
      <x:c r="A9" s="96" t="str">
        <x:v>UL05_GEM</x:v>
      </x:c>
      <x:c r="B9" s="96" t="str">
        <x:v>보석 장착·교체·합성</x:v>
      </x:c>
      <x:c r="C9" s="96" t="str">
        <x:v>계정</x:v>
      </x:c>
      <x:c r="D9" s="96" t="n">
        <x:v>5</x:v>
      </x:c>
      <x:c r="E9" s="96" t="str">
        <x:v>또는 첫 보석 정상 획득</x:v>
      </x:c>
      <x:c r="F9" s="96" t="str">
        <x:v>예</x:v>
      </x:c>
      <x:c r="G9" s="96" t="str">
        <x:v>보석·소켓·합성 데이터가 아직 없어 실제 이용은 준비 중입니다. 무료 보석은 지급하지 않습니다.</x:v>
      </x:c>
      <x:c r="H9" s="96" t="str">
        <x:v>권한 구현 / 이용 미구현</x:v>
      </x:c>
      <x:c r="I9" s="96" t="str">
        <x:v>보상 확정 이후 판정. 안내 완료 상태와 별도 저장.</x:v>
      </x:c>
    </x:row>
    <x:row r="10" ht="65" customHeight="1">
      <x:c r="A10" s="96" t="str">
        <x:v>UL06_REROLL</x:v>
      </x:c>
      <x:c r="B10" s="96" t="str">
        <x:v>옵션 재설정</x:v>
      </x:c>
      <x:c r="C10" s="96" t="str">
        <x:v>계정</x:v>
      </x:c>
      <x:c r="D10" s="96" t="n">
        <x:v>8</x:v>
      </x:c>
      <x:c r="E10" s="96" t="str">
        <x:v>없음</x:v>
      </x:c>
      <x:c r="F10" s="96" t="str">
        <x:v>예</x:v>
      </x:c>
      <x:c r="G10" s="96" t="str">
        <x:v>한 줄을 지정하면 해당 줄로 고정됩니다. 같은 아이템 레벨에서는 반복 횟수와 무관하게 비용이 같습니다.</x:v>
      </x:c>
      <x:c r="H10" s="96" t="str">
        <x:v>구현</x:v>
      </x:c>
      <x:c r="I10" s="96" t="str">
        <x:v>보상 확정 이후 판정. 안내 완료 상태와 별도 저장.</x:v>
      </x:c>
    </x:row>
    <x:row r="11" ht="65" customHeight="1">
      <x:c r="A11" s="96" t="str">
        <x:v>UL07_UNIDENTIFIED_SHOP</x:v>
      </x:c>
      <x:c r="B11" s="96" t="str">
        <x:v>미확인 장비 상점</x:v>
      </x:c>
      <x:c r="C11" s="96" t="str">
        <x:v>계정</x:v>
      </x:c>
      <x:c r="D11" s="96" t="n">
        <x:v>10</x:v>
      </x:c>
      <x:c r="E11" s="96" t="str">
        <x:v>없음</x:v>
      </x:c>
      <x:c r="F11" s="96" t="str">
        <x:v>예</x:v>
      </x:c>
      <x:c r="G11" s="96" t="str">
        <x:v>부위를 선택하고 골드로 구매합니다. 확정 희귀 제작과 등급 추첨 구매는 다릅니다.</x:v>
      </x:c>
      <x:c r="H11" s="96" t="str">
        <x:v>구현</x:v>
      </x:c>
      <x:c r="I11" s="96" t="str">
        <x:v>보상 확정 이후 판정. 안내 완료 상태와 별도 저장.</x:v>
      </x:c>
    </x:row>
    <x:row r="12" ht="65" customHeight="1">
      <x:c r="A12" s="96" t="str">
        <x:v>UL08_SWEEP</x:v>
      </x:c>
      <x:c r="B12" s="96" t="str">
        <x:v>소탕</x:v>
      </x:c>
      <x:c r="C12" s="96" t="str">
        <x:v>계정</x:v>
      </x:c>
      <x:c r="D12" s="96" t="n">
        <x:v>12</x:v>
      </x:c>
      <x:c r="E12" s="96" t="str">
        <x:v>없음</x:v>
      </x:c>
      <x:c r="F12" s="96" t="str">
        <x:v>예</x:v>
      </x:c>
      <x:c r="G12" s="96" t="str">
        <x:v>선택 영웅의 최고 실제 클리어 단계로 보상합니다. 개인 기록·일일 잔여 횟수·가방 3칸이 필요합니다.</x:v>
      </x:c>
      <x:c r="H12" s="96" t="str">
        <x:v>구현</x:v>
      </x:c>
      <x:c r="I12" s="96" t="str">
        <x:v>선택 영웅 H ≥ 1 필요. 보상도 H 기준.</x:v>
      </x:c>
    </x:row>
    <x:row r="13" ht="65" customHeight="1">
      <x:c r="A13" s="96" t="str">
        <x:v>UL09_CORE_CRAFT</x:v>
      </x:c>
      <x:c r="B13" s="96" t="str">
        <x:v>전설 코어 제작</x:v>
      </x:c>
      <x:c r="C13" s="96" t="str">
        <x:v>계정</x:v>
      </x:c>
      <x:c r="D13" s="96" t="n">
        <x:v>15</x:v>
      </x:c>
      <x:c r="E13" s="96" t="str">
        <x:v>또는 같은 부위 코어 10개 달성</x:v>
      </x:c>
      <x:c r="F13" s="96" t="str">
        <x:v>예</x:v>
      </x:c>
      <x:c r="G13" s="96" t="str">
        <x:v>같은 부위 코어 10개를 제작할 때 소비합니다. 전설 분해는 해금 전에도 코어를 지급합니다.</x:v>
      </x:c>
      <x:c r="H13" s="96" t="str">
        <x:v>구현</x:v>
      </x:c>
      <x:c r="I13" s="96" t="str">
        <x:v>보상 확정 이후 판정. 안내 완료 상태와 별도 저장.</x:v>
      </x:c>
    </x:row>
    <x:row r="14" ht="65" customHeight="1">
      <x:c r="A14" s="96"/>
      <x:c r="B14" s="96"/>
      <x:c r="C14" s="96"/>
      <x:c r="D14" s="96"/>
      <x:c r="E14" s="96"/>
      <x:c r="F14" s="96"/>
      <x:c r="G14" s="96"/>
      <x:c r="H14" s="96"/>
      <x:c r="I14" s="96"/>
    </x:row>
    <x:row r="15" ht="65" customHeight="1">
      <x:c r="A15" s="96"/>
      <x:c r="B15" s="96"/>
      <x:c r="C15" s="96"/>
      <x:c r="D15" s="96"/>
      <x:c r="E15" s="96"/>
      <x:c r="F15" s="96"/>
      <x:c r="G15" s="96"/>
      <x:c r="H15" s="96"/>
      <x:c r="I15" s="96"/>
    </x:row>
    <x:row r="16" ht="65" customHeight="1">
      <x:c r="A16" s="96" t="str">
        <x:v>영웅 레벨 P</x:v>
      </x:c>
      <x:c r="B16" s="96" t="str">
        <x:v>패시브 슬롯</x:v>
      </x:c>
      <x:c r="C16" s="96" t="str">
        <x:v>적용 범위</x:v>
      </x:c>
      <x:c r="D16" s="96" t="str">
        <x:v>상태</x:v>
      </x:c>
      <x:c r="E16" s="96"/>
      <x:c r="F16" s="96" t="str">
        <x:v>전투 조건</x:v>
      </x:c>
      <x:c r="G16" s="96" t="str">
        <x:v>현재 단계 R ≥</x:v>
      </x:c>
      <x:c r="H16" s="96" t="str">
        <x:v>내용</x:v>
      </x:c>
      <x:c r="I16" s="96" t="str">
        <x:v>상태</x:v>
      </x:c>
    </x:row>
    <x:row r="17" ht="65" customHeight="1">
      <x:c r="A17" s="96" t="n">
        <x:v>3</x:v>
      </x:c>
      <x:c r="B17" s="96" t="n">
        <x:v>1</x:v>
      </x:c>
      <x:c r="C17" s="96" t="str">
        <x:v>영웅</x:v>
      </x:c>
      <x:c r="D17" s="96" t="str">
        <x:v>테스트 초안</x:v>
      </x:c>
      <x:c r="E17" s="96"/>
      <x:c r="F17" s="96" t="str">
        <x:v>적 조합 확대</x:v>
      </x:c>
      <x:c r="G17" s="96" t="n">
        <x:v>6</x:v>
      </x:c>
      <x:c r="H17" s="96" t="str">
        <x:v>기존 원거리·장판·지원형 후보</x:v>
      </x:c>
      <x:c r="I17" s="96" t="str">
        <x:v>테스트 초안</x:v>
      </x:c>
    </x:row>
    <x:row r="18" ht="65" customHeight="1">
      <x:c r="A18" s="96" t="n">
        <x:v>6</x:v>
      </x:c>
      <x:c r="B18" s="96" t="n">
        <x:v>2</x:v>
      </x:c>
      <x:c r="C18" s="96" t="str">
        <x:v>영웅</x:v>
      </x:c>
      <x:c r="D18" s="96" t="str">
        <x:v>테스트 초안</x:v>
      </x:c>
      <x:c r="E18" s="96"/>
      <x:c r="F18" s="96" t="str">
        <x:v>두 번째 테마</x:v>
      </x:c>
      <x:c r="G18" s="96" t="n">
        <x:v>11</x:v>
      </x:c>
      <x:c r="H18" s="96" t="str">
        <x:v>이전 테마 후보 유지</x:v>
      </x:c>
      <x:c r="I18" s="96" t="str">
        <x:v>테스트 초안</x:v>
      </x:c>
    </x:row>
    <x:row r="19" ht="65" customHeight="1">
      <x:c r="A19" s="96" t="n">
        <x:v>10</x:v>
      </x:c>
      <x:c r="B19" s="96" t="n">
        <x:v>3</x:v>
      </x:c>
      <x:c r="C19" s="96" t="str">
        <x:v>영웅</x:v>
      </x:c>
      <x:c r="D19" s="96" t="str">
        <x:v>테스트 초안</x:v>
      </x:c>
      <x:c r="E19" s="96"/>
      <x:c r="F19" s="96" t="str">
        <x:v>두 번째 보스</x:v>
      </x:c>
      <x:c r="G19" s="96" t="n">
        <x:v>11</x:v>
      </x:c>
      <x:c r="H19" s="96" t="str">
        <x:v>이전 후보 유지 / 강제 출현 아님</x:v>
      </x:c>
      <x:c r="I19" s="96" t="str">
        <x:v>테스트 초안</x:v>
      </x:c>
    </x:row>
    <x:row r="20" ht="65" customHeight="1">
      <x:c r="A20" s="96"/>
      <x:c r="B20" s="96"/>
      <x:c r="C20" s="96"/>
      <x:c r="D20" s="96"/>
      <x:c r="E20" s="96"/>
      <x:c r="F20" s="96" t="str">
        <x:v>정예 최대 2특성</x:v>
      </x:c>
      <x:c r="G20" s="96" t="n">
        <x:v>20</x:v>
      </x:c>
      <x:c r="H20" s="96" t="str">
        <x:v>기존 금지 조합 유지</x:v>
      </x:c>
      <x:c r="I20" s="96" t="str">
        <x:v>테스트 초안</x:v>
      </x:c>
    </x:row>
    <x:row r="21" ht="65" customHeight="1">
      <x:c r="A21" s="96"/>
      <x:c r="B21" s="96"/>
      <x:c r="C21" s="96"/>
      <x:c r="D21" s="96"/>
      <x:c r="E21" s="96"/>
      <x:c r="F21" s="96" t="str">
        <x:v>세 번째 보스</x:v>
      </x:c>
      <x:c r="G21" s="96" t="n">
        <x:v>21</x:v>
      </x:c>
      <x:c r="H21" s="96" t="str">
        <x:v>이전 후보 유지 / 누적 적용</x:v>
      </x:c>
      <x:c r="I21" s="96" t="str">
        <x:v>테스트 초안</x:v>
      </x:c>
    </x:row>
    <x:row r="22" ht="65" customHeight="1">
      <x:c r="A22" s="96"/>
      <x:c r="B22" s="96"/>
      <x:c r="C22" s="96"/>
      <x:c r="D22" s="96"/>
      <x:c r="E22" s="96"/>
      <x:c r="F22" s="96"/>
      <x:c r="G22" s="96"/>
      <x:c r="H22" s="96"/>
      <x:c r="I22" s="96"/>
    </x:row>
    <x:row r="23" ht="65" customHeight="1">
      <x:c r="A23" s="96" t="str">
        <x:v>첫 사용 점검</x:v>
      </x:c>
      <x:c r="B23" s="96" t="str">
        <x:v>아이템 레벨 L</x:v>
      </x:c>
      <x:c r="C23" s="96" t="str">
        <x:v>골드 비용</x:v>
      </x:c>
      <x:c r="D23" s="96" t="str">
        <x:v>재료 / 코어</x:v>
      </x:c>
      <x:c r="E23" s="96" t="str">
        <x:v>판정</x:v>
      </x:c>
      <x:c r="F23" s="96"/>
      <x:c r="G23" s="96"/>
      <x:c r="H23" s="96"/>
      <x:c r="I23" s="96"/>
    </x:row>
    <x:row r="24" ht="65" customHeight="1">
      <x:c r="A24" s="96" t="str">
        <x:v>1단 강화</x:v>
      </x:c>
      <x:c r="B24" s="96" t="n">
        <x:v>1</x:v>
      </x:c>
      <x:c r="C24" s="99" t="n">
        <x:f>200*B24</x:f>
        <x:v>200</x:v>
      </x:c>
      <x:c r="D24" s="99" t="n">
        <x:v>20</x:v>
      </x:c>
      <x:c r="E24" s="96" t="str">
        <x:v>보스+초회 재료 15개. 5개 추가 확보 필요.</x:v>
      </x:c>
      <x:c r="F24" s="96"/>
      <x:c r="G24" s="96" t="str">
        <x:v>기존 사용자: 이전에 이용 가능했던 성장 기능·패시브 3칸·구매 권한 보존. 보석은 기존에 없었으므로 임의 부여하지 않음. 오프라인 보상은 해금 이전 시간에 소급하지 않음. 실제 서버·기기 동기화는 미연결이며 저장 필드와 검증된 권한 병합 함수만 제공함.</x:v>
      </x:c>
      <x:c r="H24" s="96"/>
      <x:c r="I24" s="96"/>
    </x:row>
    <x:row r="25" ht="65" customHeight="1">
      <x:c r="A25" s="96" t="str">
        <x:v>3단 희귀 제작</x:v>
      </x:c>
      <x:c r="B25" s="96" t="n">
        <x:v>3</x:v>
      </x:c>
      <x:c r="C25" s="99" t="n">
        <x:f>500*B25</x:f>
        <x:v>1500</x:v>
      </x:c>
      <x:c r="D25" s="99" t="n">
        <x:v>50</x:v>
      </x:c>
      <x:c r="E25" s="96" t="str">
        <x:v>단계 진입만으로 재화 충족을 보장하지 않음.</x:v>
      </x:c>
      <x:c r="F25" s="96"/>
      <x:c r="G25" s="96"/>
      <x:c r="H25" s="96"/>
      <x:c r="I25" s="96"/>
    </x:row>
    <x:row r="26" ht="65" customHeight="1">
      <x:c r="A26" s="96" t="str">
        <x:v>8단 재설정</x:v>
      </x:c>
      <x:c r="B26" s="96" t="n">
        <x:v>8</x:v>
      </x:c>
      <x:c r="C26" s="99" t="n">
        <x:f>500*MAX(1,B26)+50*MAX(1,B26)*(MAX(1,B26)-1)</x:f>
        <x:v>6800</x:v>
      </x:c>
      <x:c r="D26" s="99" t="n">
        <x:v>0</x:v>
      </x:c>
      <x:c r="E26" s="96" t="str">
        <x:v>유효 접사 장비와 골드가 필요.</x:v>
      </x:c>
      <x:c r="F26" s="96"/>
      <x:c r="G26" s="96"/>
      <x:c r="H26" s="96"/>
      <x:c r="I26" s="96"/>
    </x:row>
    <x:row r="27" ht="65" customHeight="1">
      <x:c r="A27" s="96" t="str">
        <x:v>15단 코어 제작</x:v>
      </x:c>
      <x:c r="B27" s="96" t="n">
        <x:v>15</x:v>
      </x:c>
      <x:c r="C27" s="99" t="n">
        <x:v>0</x:v>
      </x:c>
      <x:c r="D27" s="99" t="n">
        <x:v>10</x:v>
      </x:c>
      <x:c r="E27" s="96" t="str">
        <x:v>같은 부위 10개. 합산 금지.</x:v>
      </x:c>
      <x:c r="F27" s="96"/>
      <x:c r="G27" s="96"/>
      <x:c r="H27" s="96"/>
      <x:c r="I27" s="96"/>
    </x:row>
    <x:row r="28" ht="65" customHeight="1">
      <x:c r="A28" s="96" t="str">
        <x:v>5단 보석</x:v>
      </x:c>
      <x:c r="B28" s="96" t="n">
        <x:v>5</x:v>
      </x:c>
      <x:c r="C28" s="99"/>
      <x:c r="D28" s="99"/>
      <x:c r="E28" s="96" t="str">
        <x:v>보석·소켓·레시피 미구현. 무료 보상 없음.</x:v>
      </x:c>
      <x:c r="F28" s="96"/>
      <x:c r="G28" s="96"/>
      <x:c r="H28" s="96"/>
      <x:c r="I28" s="96"/>
    </x:row>
    <x:row r="29" ht="65" customHeight="1">
      <x:c r="A29" s="96"/>
      <x:c r="B29" s="96"/>
      <x:c r="C29" s="96"/>
      <x:c r="D29" s="96"/>
      <x:c r="E29" s="96"/>
      <x:c r="F29" s="96"/>
      <x:c r="G29" s="96"/>
      <x:c r="H29" s="96"/>
      <x:c r="I29" s="96"/>
    </x:row>
    <x:row r="30" ht="65" customHeight="1">
      <x:c r="A30" s="96"/>
      <x:c r="B30" s="96"/>
      <x:c r="C30" s="96"/>
      <x:c r="D30" s="96"/>
      <x:c r="E30" s="96"/>
      <x:c r="F30" s="96"/>
      <x:c r="G30" s="96"/>
      <x:c r="H30" s="96"/>
      <x:c r="I30" s="96"/>
    </x:row>
    <x:row r="31" ht="65" customHeight="1">
      <x:c r="A31" s="96"/>
      <x:c r="B31" s="96"/>
      <x:c r="C31" s="96"/>
      <x:c r="D31" s="96"/>
      <x:c r="E31" s="96"/>
      <x:c r="F31" s="96"/>
      <x:c r="G31" s="96"/>
      <x:c r="H31" s="96"/>
      <x:c r="I31" s="96"/>
    </x:row>
    <x:row r="32" ht="65" customHeight="1">
      <x:c r="A32" s="96"/>
      <x:c r="B32" s="96"/>
      <x:c r="C32" s="96"/>
      <x:c r="D32" s="96"/>
      <x:c r="E32" s="96"/>
      <x:c r="F32" s="96"/>
      <x:c r="G32" s="96"/>
      <x:c r="H32" s="96"/>
      <x:c r="I32" s="96"/>
    </x:row>
    <x:row r="33" ht="65" customHeight="1">
      <x:c r="A33" s="96"/>
      <x:c r="B33" s="96"/>
      <x:c r="C33" s="96"/>
      <x:c r="D33" s="96"/>
      <x:c r="E33" s="96"/>
      <x:c r="F33" s="96"/>
      <x:c r="G33" s="96"/>
      <x:c r="H33" s="96"/>
      <x:c r="I33" s="96"/>
    </x:row>
    <x:row r="34" ht="65" customHeight="1">
      <x:c r="A34" s="96"/>
      <x:c r="B34" s="96"/>
      <x:c r="C34" s="96"/>
      <x:c r="D34" s="96"/>
      <x:c r="E34" s="96"/>
      <x:c r="F34" s="96"/>
      <x:c r="G34" s="96"/>
      <x:c r="H34" s="96"/>
      <x:c r="I34" s="96"/>
    </x:row>
    <x:row r="35" ht="65" customHeight="1">
      <x:c r="A35" s="96"/>
      <x:c r="B35" s="96"/>
      <x:c r="C35" s="96"/>
      <x:c r="D35" s="96"/>
      <x:c r="E35" s="96"/>
      <x:c r="F35" s="96"/>
      <x:c r="G35" s="96"/>
      <x:c r="H35" s="96"/>
      <x:c r="I35" s="96"/>
    </x:row>
    <x:row r="36" ht="65" customHeight="1">
      <x:c r="A36" s="96"/>
      <x:c r="B36" s="96"/>
      <x:c r="C36" s="96"/>
      <x:c r="D36" s="96"/>
      <x:c r="E36" s="96"/>
      <x:c r="F36" s="96"/>
      <x:c r="G36" s="96"/>
      <x:c r="H36" s="96"/>
      <x:c r="I36" s="96"/>
    </x:row>
  </x:sheetData>
  <x:mergeCells>
    <x:mergeCell ref="G2:I2"/>
    <x:mergeCell ref="G24:I28"/>
  </x:mergeCells>
  <x:pageMargins left="0.7" right="0.7" top="0.75" bottom="0.75" header="0.3" footer="0.3"/>
</x:worksheet>
</file>

<file path=xl/worksheets/sheet27.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0" hidden="0" customWidth="1"/>
    <x:col min="2" max="2" width="44" hidden="0" customWidth="1"/>
    <x:col min="3" max="3" width="57" hidden="0" customWidth="1"/>
    <x:col min="4" max="4" width="23" hidden="0" customWidth="1"/>
    <x:col min="5" max="5" width="64" hidden="0" customWidth="1"/>
    <x:col min="6" max="6" width="19" hidden="0" customWidth="1"/>
    <x:col min="7" max="7" width="18" hidden="0" customWidth="1"/>
    <x:col min="8" max="8" width="18" hidden="0" customWidth="1"/>
    <x:col min="9" max="9" width="18" hidden="0" customWidth="1"/>
  </x:cols>
  <x:sheetData>
    <x:row r="1" ht="26" customHeight="1">
      <x:c r="A1" s="96" t="str">
        <x:v>해금 검증 U01–U30</x:v>
      </x:c>
      <x:c r="B1" s="96"/>
      <x:c r="C1" s="96"/>
      <x:c r="D1" s="96"/>
      <x:c r="E1" s="96"/>
      <x:c r="F1" s="96"/>
      <x:c r="G1" s="96"/>
      <x:c r="H1" s="96"/>
      <x:c r="I1" s="96"/>
    </x:row>
    <x:row r="2" ht="50" customHeight="1">
      <x:c r="A2" s="96" t="str">
        <x:v>조건 단위 검사·자동 UI·경제 계산·실제 수동 플레이를 구분합니다. 미실행 항목을 통과로 표시하지 않습니다.</x:v>
      </x:c>
      <x:c r="B2" s="96"/>
      <x:c r="C2" s="96"/>
      <x:c r="D2" s="96"/>
      <x:c r="E2" s="96"/>
      <x:c r="F2" s="96"/>
      <x:c r="G2" s="96"/>
      <x:c r="H2" s="96"/>
      <x:c r="I2" s="96"/>
    </x:row>
    <x:row r="3" ht="65" customHeight="1">
      <x:c r="A3" s="96"/>
      <x:c r="B3" s="96"/>
      <x:c r="C3" s="96"/>
      <x:c r="D3" s="96"/>
      <x:c r="E3" s="96"/>
      <x:c r="F3" s="96"/>
      <x:c r="G3" s="96"/>
      <x:c r="H3" s="96"/>
      <x:c r="I3" s="96"/>
    </x:row>
    <x:row r="4" ht="42" customHeight="1">
      <x:c r="A4" s="98" t="str">
        <x:v>ID</x:v>
      </x:c>
      <x:c r="B4" s="98" t="str">
        <x:v>상황</x:v>
      </x:c>
      <x:c r="C4" s="98" t="str">
        <x:v>기대 결과</x:v>
      </x:c>
      <x:c r="D4" s="98" t="str">
        <x:v>실행 범위 / 결과</x:v>
      </x:c>
      <x:c r="E4" s="98" t="str">
        <x:v>증거 또는 제한</x:v>
      </x:c>
      <x:c r="F4" s="98"/>
      <x:c r="G4" s="98"/>
      <x:c r="H4" s="98"/>
      <x:c r="I4" s="98"/>
    </x:row>
    <x:row r="5" ht="65" customHeight="1">
      <x:c r="A5" s="96" t="str">
        <x:v>U01</x:v>
      </x:c>
      <x:c r="B5" s="96" t="str">
        <x:v>신규 계정 시작</x:v>
      </x:c>
      <x:c r="C5" s="96" t="str">
        <x:v>3직업 선택·스크립트·기본 편의는 사용 가능. 단계형 성장 메뉴는 조건대로 잠김</x:v>
      </x:c>
      <x:c r="D5" s="96" t="str">
        <x:v>조건·자동 UI 통과</x:v>
      </x:c>
      <x:c r="E5" s="96" t="str">
        <x:v>신규 3영웅·기본 장비·스크립트 유지, 성장 메뉴 잠금. macOS 신규 계정 화면 확인.</x:v>
      </x:c>
      <x:c r="F5" s="96"/>
      <x:c r="G5" s="96"/>
      <x:c r="H5" s="96"/>
      <x:c r="I5" s="96"/>
    </x:row>
    <x:row r="6" ht="65" customHeight="1">
      <x:c r="A6" s="96" t="str">
        <x:v>U02</x:v>
      </x:c>
      <x:c r="B6" s="96" t="str">
        <x:v>1단 입장 후 실패</x:v>
      </x:c>
      <x:c r="C6" s="96" t="str">
        <x:v>A는 증가하지 않음. 강화·오프라인 미개방, 훈련장은 이용 가능</x:v>
      </x:c>
      <x:c r="D6" s="96" t="str">
        <x:v>조건·자동 UI 통과</x:v>
      </x:c>
      <x:c r="E6" s="96" t="str">
        <x:v>실제 균열 생성 후 포기/실패 처리. A=0, 훈련장만 개방. 자동 앱 흐름 확인.</x:v>
      </x:c>
      <x:c r="F6" s="96"/>
      <x:c r="G6" s="96"/>
      <x:c r="H6" s="96"/>
      <x:c r="I6" s="96"/>
    </x:row>
    <x:row r="7" ht="65" customHeight="1">
      <x:c r="A7" s="96" t="str">
        <x:v>U03</x:v>
      </x:c>
      <x:c r="B7" s="96" t="str">
        <x:v>1단 클리어 확정</x:v>
      </x:c>
      <x:c r="C7" s="96" t="str">
        <x:v>강화·오프라인 해금. 분해·보호 기능은 이전에도 접근 가능</x:v>
      </x:c>
      <x:c r="D7" s="96" t="str">
        <x:v>조건·보상 경로 통과</x:v>
      </x:c>
      <x:c r="E7" s="96" t="str">
        <x:v>공개 Tick으로 보스 보상 확정·해금. 해금 전 오프라인 시간 소급 없음. 재접속 중복 없음.</x:v>
      </x:c>
      <x:c r="F7" s="96"/>
      <x:c r="G7" s="96"/>
      <x:c r="H7" s="96"/>
      <x:c r="I7" s="96"/>
    </x:row>
    <x:row r="8" ht="65" customHeight="1">
      <x:c r="A8" s="96" t="str">
        <x:v>U04</x:v>
      </x:c>
      <x:c r="B8" s="96" t="str">
        <x:v>A가 2→3</x:v>
      </x:c>
      <x:c r="C8" s="96" t="str">
        <x:v>기본 제작 해금. 훈련장·프리셋 권한을 중복 생성하지 않음</x:v>
      </x:c>
      <x:c r="D8" s="96" t="str">
        <x:v>조건 단위 검사 통과</x:v>
      </x:c>
      <x:c r="E8" s="96" t="str">
        <x:v>ContentUnlockTests / final-focused.xml. 계정·영웅·실행 단계를 분리해 검사했습니다.</x:v>
      </x:c>
      <x:c r="F8" s="96"/>
      <x:c r="G8" s="96"/>
      <x:c r="H8" s="96"/>
      <x:c r="I8" s="96"/>
    </x:row>
    <x:row r="9" ht="65" customHeight="1">
      <x:c r="A9" s="96" t="str">
        <x:v>U05</x:v>
      </x:c>
      <x:c r="B9" s="96" t="str">
        <x:v>A가 4→5</x:v>
      </x:c>
      <x:c r="C9" s="96" t="str">
        <x:v>보석 기능 해금. 없는 보석·소켓을 자동 생성하지 않음</x:v>
      </x:c>
      <x:c r="D9" s="96" t="str">
        <x:v>권한 검사 통과 / 이용 미구현</x:v>
      </x:c>
      <x:c r="E9" s="96" t="str">
        <x:v>보석·소켓·합성 데이터가 없어 실제 장착·교체·합성은 미실행. 의존 조건을 메뉴에 표시함.</x:v>
      </x:c>
      <x:c r="F9" s="96"/>
      <x:c r="G9" s="96"/>
      <x:c r="H9" s="96"/>
      <x:c r="I9" s="96"/>
    </x:row>
    <x:row r="10" ht="65" customHeight="1">
      <x:c r="A10" s="96" t="str">
        <x:v>U06</x:v>
      </x:c>
      <x:c r="B10" s="96" t="str">
        <x:v>A&lt;5에서 보석 획득</x:v>
      </x:c>
      <x:c r="C10" s="96" t="str">
        <x:v>조기 해금. 보석 소비 후에도 해금 유지</x:v>
      </x:c>
      <x:c r="D10" s="96" t="str">
        <x:v>획득 훅·저장 검사 통과</x:v>
      </x:c>
      <x:c r="E10" s="96" t="str">
        <x:v>정상 획득 연결용 이벤트와 영구 저장을 검사함. 실제 보석 획득·소비 경로는 기존 프로젝트에 없음.</x:v>
      </x:c>
      <x:c r="F10" s="96"/>
      <x:c r="G10" s="96"/>
      <x:c r="H10" s="96"/>
      <x:c r="I10" s="96"/>
    </x:row>
    <x:row r="11" ht="65" customHeight="1">
      <x:c r="A11" s="96" t="str">
        <x:v>U07</x:v>
      </x:c>
      <x:c r="B11" s="96" t="str">
        <x:v>A가 7→8</x:v>
      </x:c>
      <x:c r="C11" s="96" t="str">
        <x:v>재설정 해금. 같은 L에서 1회·10회·100회 비용 동일</x:v>
      </x:c>
      <x:c r="D11" s="96" t="str">
        <x:v>조건·경제 계산 통과</x:v>
      </x:c>
      <x:c r="E11" s="96" t="str">
        <x:v>L=8에서 1·10·100번째 재설정은 모두 6,800골드. 기존 RerollGold와 등급 확률 코드 보존.</x:v>
      </x:c>
      <x:c r="F11" s="96"/>
      <x:c r="G11" s="96"/>
      <x:c r="H11" s="96"/>
      <x:c r="I11" s="96"/>
    </x:row>
    <x:row r="12" ht="65" customHeight="1">
      <x:c r="A12" s="96" t="str">
        <x:v>U08</x:v>
      </x:c>
      <x:c r="B12" s="96" t="str">
        <x:v>A가 9→10</x:v>
      </x:c>
      <x:c r="C12" s="96" t="str">
        <x:v>미확인 상점 해금. 이전 상점 가격·확률 정책 유지</x:v>
      </x:c>
      <x:c r="D12" s="96" t="str">
        <x:v>조건·자동 UI 통과</x:v>
      </x:c>
      <x:c r="E12" s="96" t="str">
        <x:v>10단 기준과 개별 구매 잠금 확인. 기존 상점 2/38/60% 및 가격을 서비스 함수로 옮겨 유지함.</x:v>
      </x:c>
      <x:c r="F12" s="96"/>
      <x:c r="G12" s="96"/>
      <x:c r="H12" s="96"/>
      <x:c r="I12" s="96"/>
    </x:row>
    <x:row r="13" ht="65" customHeight="1">
      <x:c r="A13" s="96" t="str">
        <x:v>U09</x:v>
      </x:c>
      <x:c r="B13" s="96" t="str">
        <x:v>A가 11→12</x:v>
      </x:c>
      <x:c r="C13" s="96" t="str">
        <x:v>소탕 메뉴 해금</x:v>
      </x:c>
      <x:c r="D13" s="96" t="str">
        <x:v>조건 단위 검사 통과</x:v>
      </x:c>
      <x:c r="E13" s="96" t="str">
        <x:v>ContentUnlockTests / final-focused.xml. 계정·영웅·실행 단계를 분리해 검사했습니다.</x:v>
      </x:c>
      <x:c r="F13" s="96"/>
      <x:c r="G13" s="96"/>
      <x:c r="H13" s="96"/>
      <x:c r="I13" s="96"/>
    </x:row>
    <x:row r="14" ht="65" customHeight="1">
      <x:c r="A14" s="96" t="str">
        <x:v>U10</x:v>
      </x:c>
      <x:c r="B14" s="96" t="str">
        <x:v>A&gt;=12, 선택 영웅 H=0</x:v>
      </x:c>
      <x:c r="C14" s="96" t="str">
        <x:v>소탕 실행 불가. 다른 영웅의 기록을 가져오지 않음</x:v>
      </x:c>
      <x:c r="D14" s="96" t="str">
        <x:v>조건·자동 UI 통과</x:v>
      </x:c>
      <x:c r="E14" s="96" t="str">
        <x:v>계정 메뉴가 열려도 선택 영웅 H=0이면 실제 요청 거절. 난수·보상 불변.</x:v>
      </x:c>
      <x:c r="F14" s="96"/>
      <x:c r="G14" s="96"/>
      <x:c r="H14" s="96"/>
      <x:c r="I14" s="96"/>
    </x:row>
    <x:row r="15" ht="65" customHeight="1">
      <x:c r="A15" s="96" t="str">
        <x:v>U11</x:v>
      </x:c>
      <x:c r="B15" s="96" t="str">
        <x:v>전사 H=50, 궁수 H=3</x:v>
      </x:c>
      <x:c r="C15" s="96" t="str">
        <x:v>궁수 소탕은 3단 보상·3단 보스 등급 확률 사용</x:v>
      </x:c>
      <x:c r="D15" s="96" t="str">
        <x:v>보상 난수 대조 통과</x:v>
      </x:c>
      <x:c r="E15" s="96" t="str">
        <x:v>전사 H=50/궁수 H=3. 궁수의 3단 보스 확률·레벨·난수 소비와 950골드 대조.</x:v>
      </x:c>
      <x:c r="F15" s="96"/>
      <x:c r="G15" s="96"/>
      <x:c r="H15" s="96"/>
      <x:c r="I15" s="96"/>
    </x:row>
    <x:row r="16" ht="65" customHeight="1">
      <x:c r="A16" s="96" t="str">
        <x:v>U12</x:v>
      </x:c>
      <x:c r="B16" s="96" t="str">
        <x:v>A&lt;15, 무기 코어 5개+머리 코어 5개</x:v>
      </x:c>
      <x:c r="C16" s="96" t="str">
        <x:v>코어 제작 조기 조건 미충족</x:v>
      </x:c>
      <x:c r="D16" s="96" t="str">
        <x:v>조건 단위 검사 통과</x:v>
      </x:c>
      <x:c r="E16" s="96" t="str">
        <x:v>ContentUnlockTests / final-focused.xml. 계정·영웅·실행 단계를 분리해 검사했습니다.</x:v>
      </x:c>
      <x:c r="F16" s="96"/>
      <x:c r="G16" s="96"/>
      <x:c r="H16" s="96"/>
      <x:c r="I16" s="96"/>
    </x:row>
    <x:row r="17" ht="65" customHeight="1">
      <x:c r="A17" s="96" t="str">
        <x:v>U13</x:v>
      </x:c>
      <x:c r="B17" s="96" t="str">
        <x:v>A&lt;15, 같은 부위 코어 10개 달성</x:v>
      </x:c>
      <x:c r="C17" s="96" t="str">
        <x:v>제작 조기 해금. 해금 자체로 코어를 차감하지 않음</x:v>
      </x:c>
      <x:c r="D17" s="96" t="str">
        <x:v>조건 단위 검사 통과</x:v>
      </x:c>
      <x:c r="E17" s="96" t="str">
        <x:v>ContentUnlockTests / final-focused.xml. 계정·영웅·실행 단계를 분리해 검사했습니다.</x:v>
      </x:c>
      <x:c r="F17" s="96"/>
      <x:c r="G17" s="96"/>
      <x:c r="H17" s="96"/>
      <x:c r="I17" s="96"/>
    </x:row>
    <x:row r="18" ht="65" customHeight="1">
      <x:c r="A18" s="96" t="str">
        <x:v>U14</x:v>
      </x:c>
      <x:c r="B18" s="96" t="str">
        <x:v>제작 후 해당 코어 0개</x:v>
      </x:c>
      <x:c r="C18" s="96" t="str">
        <x:v>기능은 계속 열림. 실제 재제작은 재료 부족 안내</x:v>
      </x:c>
      <x:c r="D18" s="96" t="str">
        <x:v>조건 단위 검사 통과</x:v>
      </x:c>
      <x:c r="E18" s="96" t="str">
        <x:v>ContentUnlockTests / final-focused.xml. 계정·영웅·실행 단계를 분리해 검사했습니다.</x:v>
      </x:c>
      <x:c r="F18" s="96"/>
      <x:c r="G18" s="96"/>
      <x:c r="H18" s="96"/>
      <x:c r="I18" s="96"/>
    </x:row>
    <x:row r="19" ht="65" customHeight="1">
      <x:c r="A19" s="96" t="str">
        <x:v>U15</x:v>
      </x:c>
      <x:c r="B19" s="96" t="str">
        <x:v>A가 14→15</x:v>
      </x:c>
      <x:c r="C19" s="96" t="str">
        <x:v>코어 보유 수와 무관하게 제작 메뉴 개방</x:v>
      </x:c>
      <x:c r="D19" s="96" t="str">
        <x:v>조건 단위 검사 통과</x:v>
      </x:c>
      <x:c r="E19" s="96" t="str">
        <x:v>ContentUnlockTests / final-focused.xml. 계정·영웅·실행 단계를 분리해 검사했습니다.</x:v>
      </x:c>
      <x:c r="F19" s="96"/>
      <x:c r="G19" s="96"/>
      <x:c r="H19" s="96"/>
      <x:c r="I19" s="96"/>
    </x:row>
    <x:row r="20" ht="65" customHeight="1">
      <x:c r="A20" s="96" t="str">
        <x:v>U16</x:v>
      </x:c>
      <x:c r="B20" s="96" t="str">
        <x:v>초기 전설·세트 획득</x:v>
      </x:c>
      <x:c r="C20" s="96" t="str">
        <x:v>기존 착용 조건만 적용. 새 콘텐츠 단계 잠금 없음</x:v>
      </x:c>
      <x:c r="D20" s="96" t="str">
        <x:v>장착·분해·기존 검사 통과</x:v>
      </x:c>
      <x:c r="E20" s="96" t="str">
        <x:v>전설 장착 조건과 잠금 전 코어 지급 확인. 기존 세트·장비 검사 유지. 획득 안내는 권한과 별도 기록.</x:v>
      </x:c>
      <x:c r="F20" s="96"/>
      <x:c r="G20" s="96"/>
      <x:c r="H20" s="96"/>
      <x:c r="I20" s="96"/>
    </x:row>
    <x:row r="21" ht="65" customHeight="1">
      <x:c r="A21" s="96" t="str">
        <x:v>U17</x:v>
      </x:c>
      <x:c r="B21" s="96" t="str">
        <x:v>다른 영웅으로 전환</x:v>
      </x:c>
      <x:c r="C21" s="96" t="str">
        <x:v>계정 공통 메뉴 유지, 개인 H·P와 소탕 기준 분리</x:v>
      </x:c>
      <x:c r="D21" s="96" t="str">
        <x:v>조건·자동 UI 통과</x:v>
      </x:c>
      <x:c r="E21" s="96" t="str">
        <x:v>계정 권한을 유지한 채 다른 영웅으로 전환. 개인 H와 패시브 슬롯은 공유하지 않음.</x:v>
      </x:c>
      <x:c r="F21" s="96"/>
      <x:c r="G21" s="96"/>
      <x:c r="H21" s="96"/>
      <x:c r="I21" s="96"/>
    </x:row>
    <x:row r="22" ht="65" customHeight="1">
      <x:c r="A22" s="96" t="str">
        <x:v>U18</x:v>
      </x:c>
      <x:c r="B22" s="96" t="str">
        <x:v>영웅 P=2/3/5/6/9/10</x:v>
      </x:c>
      <x:c r="C22" s="96" t="str">
        <x:v>신규 영웅 패시브 슬롯 0/1/1/2/2/3개. 액티브는 기존 레벨 조건</x:v>
      </x:c>
      <x:c r="D22" s="96" t="str">
        <x:v>조건 단위 검사 통과</x:v>
      </x:c>
      <x:c r="E22" s="96" t="str">
        <x:v>ContentUnlockTests / final-focused.xml. 계정·영웅·실행 단계를 분리해 검사했습니다.</x:v>
      </x:c>
      <x:c r="F22" s="96"/>
      <x:c r="G22" s="96"/>
      <x:c r="H22" s="96"/>
      <x:c r="I22" s="96"/>
    </x:row>
    <x:row r="23" ht="65" customHeight="1">
      <x:c r="A23" s="96" t="str">
        <x:v>U19</x:v>
      </x:c>
      <x:c r="B23" s="96" t="str">
        <x:v>기존 저장과 기존 장착 패시브</x:v>
      </x:c>
      <x:c r="C23" s="96" t="str">
        <x:v>정당한 해금·장착·구매 권한을 박탈하지 않음</x:v>
      </x:c>
      <x:c r="D23" s="96" t="str">
        <x:v>마이그레이션·저장 검사 통과</x:v>
      </x:c>
      <x:c r="E23" s="96" t="str">
        <x:v>구버전에서 모두 사용 가능했던 기능과 3개 패시브 슬롯 보존. 보석·미구매 권한 추가 없음.</x:v>
      </x:c>
      <x:c r="F23" s="96"/>
      <x:c r="G23" s="96"/>
      <x:c r="H23" s="96"/>
      <x:c r="I23" s="96"/>
    </x:row>
    <x:row r="24" ht="65" customHeight="1">
      <x:c r="A24" s="96" t="str">
        <x:v>U20</x:v>
      </x:c>
      <x:c r="B24" s="96" t="str">
        <x:v>A=50인 계정의 R=5 전투</x:v>
      </x:c>
      <x:c r="C24" s="96" t="str">
        <x:v>5단의 테마·적·보스·드롭 규칙 적용</x:v>
      </x:c>
      <x:c r="D24" s="96" t="str">
        <x:v>생성·기존 보상 검사 통과</x:v>
      </x:c>
      <x:c r="E24" s="96" t="str">
        <x:v>R=5의 테마/보스/적 후보를 검사하고 최고 기록과 실제 보상 단계 분리 회귀 검사를 실행함.</x:v>
      </x:c>
      <x:c r="F24" s="96"/>
      <x:c r="G24" s="96"/>
      <x:c r="H24" s="96"/>
      <x:c r="I24" s="96"/>
    </x:row>
    <x:row r="25" ht="65" customHeight="1">
      <x:c r="A25" s="96" t="str">
        <x:v>U21</x:v>
      </x:c>
      <x:c r="B25" s="96" t="str">
        <x:v>R=10/11, 19/20, 20/21</x:v>
      </x:c>
      <x:c r="C25" s="96" t="str">
        <x:v>테마·보스·정예 조건이 정확한 경계에서 누적 적용</x:v>
      </x:c>
      <x:c r="D25" s="96" t="str">
        <x:v>경계·난수 생성 검사 통과</x:v>
      </x:c>
      <x:c r="E25" s="96" t="str">
        <x:v>5/10/11/19/20/21단 각 6시드. 이전 보스 후보와 금지 정예 조합 검증 유지.</x:v>
      </x:c>
      <x:c r="F25" s="96"/>
      <x:c r="G25" s="96"/>
      <x:c r="H25" s="96"/>
      <x:c r="I25" s="96"/>
    </x:row>
    <x:row r="26" ht="65" customHeight="1">
      <x:c r="A26" s="96" t="str">
        <x:v>U22</x:v>
      </x:c>
      <x:c r="B26" s="96" t="str">
        <x:v>기능 안내 건너뛰기</x:v>
      </x:c>
      <x:c r="C26" s="96" t="str">
        <x:v>권한은 유지. 안내는 필요한 곳에서 다시 확인 가능</x:v>
      </x:c>
      <x:c r="D26" s="96" t="str">
        <x:v>저장·자동 UI 통과</x:v>
      </x:c>
      <x:c r="E26" s="96" t="str">
        <x:v>안내 건너뛰기 후 권한 유지. 요약 목록에서 개별 안내를 다시 열 수 있음.</x:v>
      </x:c>
      <x:c r="F26" s="96"/>
      <x:c r="G26" s="96"/>
      <x:c r="H26" s="96"/>
      <x:c r="I26" s="96"/>
    </x:row>
    <x:row r="27" ht="65" customHeight="1">
      <x:c r="A27" s="96" t="str">
        <x:v>U23</x:v>
      </x:c>
      <x:c r="B27" s="96" t="str">
        <x:v>동일 클리어 이벤트 재전송</x:v>
      </x:c>
      <x:c r="C27" s="96" t="str">
        <x:v>해금·안내·기존 보상 중복 지급 없음</x:v>
      </x:c>
      <x:c r="D27" s="96" t="str">
        <x:v>로컬 재실행 검사 통과</x:v>
      </x:c>
      <x:c r="E27" s="96" t="str">
        <x:v>보스 보상 확정 후 저장·복원·Tick에서 재지급 없음. 실제 서버 이벤트 재전송은 미연결.</x:v>
      </x:c>
      <x:c r="F27" s="96"/>
      <x:c r="G27" s="96"/>
      <x:c r="H27" s="96"/>
      <x:c r="I27" s="96"/>
    </x:row>
    <x:row r="28" ht="65" customHeight="1">
      <x:c r="A28" s="96" t="str">
        <x:v>U24</x:v>
      </x:c>
      <x:c r="B28" s="96" t="str">
        <x:v>저장 불러오기·단계 점프</x:v>
      </x:c>
      <x:c r="C28" s="96" t="str">
        <x:v>`&gt;=` 재평가로 누락 해금 보충. 이미 열린 기능 재잠금 없음</x:v>
      </x:c>
      <x:c r="D28" s="96" t="str">
        <x:v>단계 점프·저장 검사 통과</x:v>
      </x:c>
      <x:c r="E28" s="96" t="str">
        <x:v>A=50과 재접속에서 &gt;= 판정으로 보충하며 이미 열린 권한을 회수하지 않음.</x:v>
      </x:c>
      <x:c r="F28" s="96"/>
      <x:c r="G28" s="96"/>
      <x:c r="H28" s="96"/>
      <x:c r="I28" s="96"/>
    </x:row>
    <x:row r="29" ht="65" customHeight="1">
      <x:c r="A29" s="96" t="str">
        <x:v>U25</x:v>
      </x:c>
      <x:c r="B29" s="96" t="str">
        <x:v>던전 자동 포탈 정리</x:v>
      </x:c>
      <x:c r="C29" s="96" t="str">
        <x:v>새 메뉴 해금을 이용해 강화·장비 교체 금지 규칙을 우회하지 못함</x:v>
      </x:c>
      <x:c r="D29" s="96" t="str">
        <x:v>실행 차단 검사 통과</x:v>
      </x:c>
      <x:c r="E29" s="96" t="str">
        <x:v>자동 포탈 정리 중 강화·제작·소탕 요청 거절. 장비 변경의 기존 실행 검사도 유지함.</x:v>
      </x:c>
      <x:c r="F29" s="96"/>
      <x:c r="G29" s="96"/>
      <x:c r="H29" s="96"/>
      <x:c r="I29" s="96"/>
    </x:row>
    <x:row r="30" ht="65" customHeight="1">
      <x:c r="A30" s="96" t="str">
        <x:v>U26</x:v>
      </x:c>
      <x:c r="B30" s="96" t="str">
        <x:v>기존 단계별 등급 확률 작업 회귀 검사</x:v>
      </x:c>
      <x:c r="C30" s="96" t="str">
        <x:v>적용된 곡선·상한·소탕 규칙이 이전 고정값으로 돌아가지 않음</x:v>
      </x:c>
      <x:c r="D30" s="96" t="str">
        <x:v>기존 등급 회귀 검사 통과</x:v>
      </x:c>
      <x:c r="E30" s="96" t="str">
        <x:v>RiftRarityTests 28개. 곡선·상한·실제 전투·소탕 난수 및 재설정 비용 검사. 기존 확률 시트 변경 없음.</x:v>
      </x:c>
      <x:c r="F30" s="96"/>
      <x:c r="G30" s="96"/>
      <x:c r="H30" s="96"/>
      <x:c r="I30" s="96"/>
    </x:row>
    <x:row r="31" ht="65" customHeight="1">
      <x:c r="A31" s="96" t="str">
        <x:v>U27</x:v>
      </x:c>
      <x:c r="B31" s="96" t="str">
        <x:v>해금별 골드·재료·보석·소켓 점검</x:v>
      </x:c>
      <x:c r="C31" s="96" t="str">
        <x:v>기능 개방과 실제 첫 사용 가능성을 별도 보고</x:v>
      </x:c>
      <x:c r="D31" s="96" t="str">
        <x:v>경제 계산 완료 / 부족 조건 확인</x:v>
      </x:c>
      <x:c r="E31" s="96" t="str">
        <x:v>1단 보스+초회 재료 15개, 첫 강화 20개로 5개 부족. 3단 제작 1,500골드·50재료. 보석 의존 미구현. 무료 지급 없음.</x:v>
      </x:c>
      <x:c r="F31" s="96"/>
      <x:c r="G31" s="96"/>
      <x:c r="H31" s="96"/>
      <x:c r="I31" s="96"/>
    </x:row>
    <x:row r="32" ht="65" customHeight="1">
      <x:c r="A32" s="96" t="str">
        <x:v>U28</x:v>
      </x:c>
      <x:c r="B32" s="96" t="str">
        <x:v>3직업 초반 구간</x:v>
      </x:c>
      <x:c r="C32" s="96" t="str">
        <x:v>미해금 이동기·방어기를 필수 전제로 하는 통과 불가능 구간 없음</x:v>
      </x:c>
      <x:c r="D32" s="96" t="str">
        <x:v>3직업 자동 실행 / 수동 미실행</x:v>
      </x:c>
      <x:c r="E32" s="96" t="str">
        <x:v>seed=112358, 1단: 전사 80.45초·궁수 300초·마법사 42.15초에 모두 실패. 경로 오류 없음. 난도·패턴 공정성은 추가 검토 필요.</x:v>
      </x:c>
      <x:c r="F32" s="96"/>
      <x:c r="G32" s="96"/>
      <x:c r="H32" s="96"/>
      <x:c r="I32" s="96"/>
    </x:row>
    <x:row r="33" ht="65" customHeight="1">
      <x:c r="A33" s="96" t="str">
        <x:v>U29</x:v>
      </x:c>
      <x:c r="B33" s="96" t="str">
        <x:v>계정·기기 전환</x:v>
      </x:c>
      <x:c r="C33" s="96" t="str">
        <x:v>해금 상태와 안내 상태 동기화. 오프라인·소탕 중복 보상 없음</x:v>
      </x:c>
      <x:c r="D33" s="96" t="str">
        <x:v>로컬·병합 검사만 통과</x:v>
      </x:c>
      <x:c r="E33" s="96" t="str">
        <x:v>저장 재접속, 검증된 권한 합집합·안내 병합·중복 방지 검사. 실제 계정 서버·다른 기기·오프라인 충돌 검증은 미연결로 미실행.</x:v>
      </x:c>
      <x:c r="F33" s="96"/>
      <x:c r="G33" s="96"/>
      <x:c r="H33" s="96"/>
      <x:c r="I33" s="96"/>
    </x:row>
    <x:row r="34" ht="65" customHeight="1">
      <x:c r="A34" s="96" t="str">
        <x:v>U30</x:v>
      </x:c>
      <x:c r="B34" s="96" t="str">
        <x:v>문서·엑셀·코드 대조</x:v>
      </x:c>
      <x:c r="C34" s="96" t="str">
        <x:v>기능별 단계·조건·예외·상태가 동일함</x:v>
      </x:c>
      <x:c r="D34" s="96" t="str">
        <x:v>데이터 대조 완료</x:v>
      </x:c>
      <x:c r="E34" s="96" t="str">
        <x:v>공통 ContentUnlocks.json에서 조건표를 생성. 기존 25개 시트·23개 표·셀 값·수식·서식 보존. 변경 2개 시트 렌더·수식 검사.</x:v>
      </x:c>
      <x:c r="F34" s="96"/>
      <x:c r="G34" s="96"/>
      <x:c r="H34" s="96"/>
      <x:c r="I34" s="96"/>
    </x:row>
    <x:row r="35" ht="65" customHeight="1">
      <x:c r="A35" s="96"/>
      <x:c r="B35" s="96"/>
      <x:c r="C35" s="96"/>
      <x:c r="D35" s="96"/>
      <x:c r="E35" s="96"/>
      <x:c r="F35" s="96"/>
      <x:c r="G35" s="96"/>
      <x:c r="H35" s="96"/>
      <x:c r="I35" s="96"/>
    </x:row>
  </x:sheetData>
  <x:mergeCells>
    <x:mergeCell ref="A2:E2"/>
  </x:mergeCells>
  <x:pageMargins left="0.7" right="0.7" top="0.75" bottom="0.75" header="0.3" footer="0.3"/>
</x:worksheet>
</file>